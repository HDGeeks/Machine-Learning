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d/Desktop/Machine Learning/ML-Excercises/Excels/Lecture_Machine_Learning_for_Natural_Language_Understanding/"/>
    </mc:Choice>
  </mc:AlternateContent>
  <xr:revisionPtr revIDLastSave="0" documentId="13_ncr:1_{2D435754-4776-A547-AC2C-620E4F6818F0}" xr6:coauthVersionLast="47" xr6:coauthVersionMax="47" xr10:uidLastSave="{00000000-0000-0000-0000-000000000000}"/>
  <bookViews>
    <workbookView xWindow="0" yWindow="660" windowWidth="29400" windowHeight="18460" xr2:uid="{045A32B7-7D49-AA41-9BCB-690BF8CB81ED}"/>
  </bookViews>
  <sheets>
    <sheet name="Exrcise 1-5" sheetId="1" r:id="rId1"/>
    <sheet name="Exercise 6-10" sheetId="2" r:id="rId2"/>
    <sheet name="Exercise 11-15" sheetId="3" r:id="rId3"/>
    <sheet name="Exercise 16-20" sheetId="4" r:id="rId4"/>
    <sheet name="Exercise 21-25" sheetId="5" r:id="rId5"/>
    <sheet name="LICEN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5" l="1"/>
  <c r="AI5" i="5"/>
  <c r="AO11" i="5"/>
  <c r="AO10" i="5"/>
  <c r="Z3" i="5"/>
  <c r="Z5" i="5"/>
  <c r="AF12" i="5"/>
  <c r="AF10" i="5"/>
  <c r="R3" i="5"/>
  <c r="R5" i="5"/>
  <c r="W10" i="5"/>
  <c r="W9" i="5"/>
  <c r="J3" i="5"/>
  <c r="J5" i="5"/>
  <c r="O11" i="5"/>
  <c r="O9" i="5"/>
  <c r="B3" i="5"/>
  <c r="B5" i="5"/>
  <c r="G9" i="5"/>
  <c r="AH3" i="4"/>
  <c r="AH5" i="4"/>
  <c r="AM9" i="4"/>
  <c r="Z3" i="4"/>
  <c r="Z5" i="4"/>
  <c r="AE10" i="4"/>
  <c r="R5" i="4"/>
  <c r="R3" i="4"/>
  <c r="J3" i="4"/>
  <c r="J5" i="4"/>
  <c r="B5" i="4"/>
  <c r="B3" i="4"/>
  <c r="AK3" i="3"/>
  <c r="AK5" i="3"/>
  <c r="AB5" i="3"/>
  <c r="AH12" i="3"/>
  <c r="AH10" i="3"/>
  <c r="AB3" i="3"/>
  <c r="S3" i="3"/>
  <c r="S5" i="3"/>
  <c r="Y10" i="3"/>
  <c r="J3" i="3"/>
  <c r="J5" i="3"/>
  <c r="P11" i="3"/>
  <c r="B3" i="3"/>
  <c r="B5" i="3"/>
  <c r="G10" i="3"/>
  <c r="G9" i="3"/>
  <c r="AM11" i="2"/>
  <c r="AM9" i="2"/>
  <c r="AH5" i="2"/>
  <c r="AH3" i="2"/>
  <c r="Z3" i="2"/>
  <c r="AE9" i="2"/>
  <c r="Z5" i="2"/>
  <c r="R3" i="2"/>
  <c r="R5" i="2"/>
  <c r="W10" i="2"/>
  <c r="J5" i="2"/>
  <c r="J3" i="2"/>
  <c r="B3" i="2"/>
  <c r="B5" i="2"/>
  <c r="AD3" i="1"/>
  <c r="AD5" i="1"/>
  <c r="AH10" i="1"/>
  <c r="AH9" i="1"/>
  <c r="AA9" i="1"/>
  <c r="W3" i="1"/>
  <c r="W5" i="1"/>
  <c r="P5" i="1"/>
  <c r="P3" i="1"/>
  <c r="I5" i="1"/>
  <c r="I3" i="1"/>
  <c r="B3" i="1"/>
  <c r="B5" i="1"/>
</calcChain>
</file>

<file path=xl/sharedStrings.xml><?xml version="1.0" encoding="utf-8"?>
<sst xmlns="http://schemas.openxmlformats.org/spreadsheetml/2006/main" count="258" uniqueCount="58">
  <si>
    <t>Exercise 1</t>
  </si>
  <si>
    <t>Exercise 2</t>
  </si>
  <si>
    <t>Exercise 3</t>
  </si>
  <si>
    <t>Exercise 4</t>
  </si>
  <si>
    <t>Exercise 5</t>
  </si>
  <si>
    <t>Exercise 6</t>
  </si>
  <si>
    <t>Exercise 7</t>
  </si>
  <si>
    <t>Exercise 8</t>
  </si>
  <si>
    <t>Exercise 9</t>
  </si>
  <si>
    <t>Exercise 10</t>
  </si>
  <si>
    <t>Exercise 11</t>
  </si>
  <si>
    <t>Exercise 12</t>
  </si>
  <si>
    <t>Exercise 13</t>
  </si>
  <si>
    <t>Exercise 14</t>
  </si>
  <si>
    <t>Exercise 15</t>
  </si>
  <si>
    <t>Exercise 16</t>
  </si>
  <si>
    <t>Exercise 17</t>
  </si>
  <si>
    <t>Exercise 18</t>
  </si>
  <si>
    <t>Exercise 19</t>
  </si>
  <si>
    <t>Exercise 20</t>
  </si>
  <si>
    <t>Exercise 21</t>
  </si>
  <si>
    <t>Exercise 22</t>
  </si>
  <si>
    <t>Exercise 23</t>
  </si>
  <si>
    <t>Exercise 24</t>
  </si>
  <si>
    <t>Exercise 25</t>
  </si>
  <si>
    <t>MIT License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</si>
  <si>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</si>
  <si>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</si>
  <si>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</si>
  <si>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</si>
  <si>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</si>
  <si>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</si>
  <si>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</si>
  <si>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</si>
  <si>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</si>
  <si>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</si>
  <si>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</si>
  <si>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</si>
  <si>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</si>
  <si>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</si>
  <si>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</si>
  <si>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Copyright (c) 2024 Tom Yeh and Mohsena Ashraf</t>
  </si>
  <si>
    <t xml:space="preserve"> Tutorial Video</t>
  </si>
  <si>
    <t>→</t>
  </si>
  <si>
    <t>Linear Layer | AI by Hand  ✍️ © 2024 Tom Yeh and Mohsena Ashraf</t>
  </si>
  <si>
    <t>y = [W|b]⋅[X|1] = WX+b</t>
  </si>
  <si>
    <t>X</t>
  </si>
  <si>
    <t>W</t>
  </si>
  <si>
    <t>b</t>
  </si>
  <si>
    <t>Y</t>
  </si>
  <si>
    <t>https://by-hand.ai/v/w3</t>
  </si>
  <si>
    <t>Linear Layer | AI by Hand ✍️ © 2024 Tom Yeh and Mohsena Ashraf</t>
  </si>
  <si>
    <r>
      <t>Y</t>
    </r>
    <r>
      <rPr>
        <vertAlign val="subscript"/>
        <sz val="14"/>
        <color theme="1"/>
        <rFont val="Calibri"/>
        <family val="2"/>
        <scheme val="minor"/>
      </rPr>
      <t>1</t>
    </r>
  </si>
  <si>
    <r>
      <t>Y</t>
    </r>
    <r>
      <rPr>
        <vertAlign val="subscript"/>
        <sz val="14"/>
        <color theme="1"/>
        <rFont val="Calibri"/>
        <family val="2"/>
        <scheme val="minor"/>
      </rPr>
      <t>2</t>
    </r>
  </si>
  <si>
    <r>
      <t>Y</t>
    </r>
    <r>
      <rPr>
        <vertAlign val="subscript"/>
        <sz val="14"/>
        <color theme="1"/>
        <rFont val="Calibri"/>
        <family val="2"/>
        <scheme val="minor"/>
      </rPr>
      <t>3</t>
    </r>
  </si>
  <si>
    <r>
      <t>X</t>
    </r>
    <r>
      <rPr>
        <vertAlign val="subscript"/>
        <sz val="14"/>
        <color theme="1"/>
        <rFont val="Calibri"/>
        <family val="2"/>
        <scheme val="minor"/>
      </rPr>
      <t>1</t>
    </r>
  </si>
  <si>
    <r>
      <t>X</t>
    </r>
    <r>
      <rPr>
        <vertAlign val="subscript"/>
        <sz val="14"/>
        <color theme="1"/>
        <rFont val="Calibri"/>
        <family val="2"/>
        <scheme val="minor"/>
      </rPr>
      <t>2</t>
    </r>
  </si>
  <si>
    <r>
      <t>X</t>
    </r>
    <r>
      <rPr>
        <vertAlign val="subscript"/>
        <sz val="14"/>
        <color rgb="FF000000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</si>
</sst>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vertAlign val="subscript"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6" fillId="2" borderId="1" xfId="0" applyFont="1" applyFill="1" applyBorder="1" applyAlignment="1">
      <alignment horizontal="center"/>
    </xf>
    <xf numFmtId="0" fontId="5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4" xfId="0" applyFont="1" applyBorder="1"/>
    <xf numFmtId="0" fontId="3" fillId="0" borderId="0" xfId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5" xfId="0" applyBorder="1"/>
    <xf numFmtId="0" fontId="11" fillId="0" borderId="5" xfId="0" applyFont="1" applyBorder="1" applyAlignment="1">
      <alignment vertical="center" readingOrder="1"/>
    </xf>
    <xf numFmtId="0" fontId="12" fillId="0" borderId="6" xfId="0" applyFont="1" applyBorder="1" applyAlignment="1">
      <alignment vertical="center" readingOrder="1"/>
    </xf>
    <xf numFmtId="0" fontId="0" fillId="0" borderId="9" xfId="0" applyBorder="1"/>
    <xf numFmtId="0" fontId="0" fillId="0" borderId="8" xfId="0" applyBorder="1"/>
    <xf numFmtId="0" fontId="0" fillId="0" borderId="7" xfId="0" applyBorder="1"/>
    <xf numFmtId="0" fontId="3" fillId="0" borderId="0" xfId="1"/>
    <xf numFmtId="0" fontId="11" fillId="0" borderId="0" xfId="0" applyFont="1" applyAlignment="1">
      <alignment vertical="center" readingOrder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readingOrder="1"/>
    </xf>
    <xf numFmtId="0" fontId="12" fillId="0" borderId="0" xfId="0" applyFont="1" applyAlignment="1">
      <alignment horizontal="center" vertical="center" readingOrder="1"/>
    </xf>
    <xf numFmtId="0" fontId="12" fillId="0" borderId="6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70416</xdr:colOff>
      <xdr:row>12</xdr:row>
      <xdr:rowOff>13510</xdr:rowOff>
    </xdr:from>
    <xdr:to>
      <xdr:col>4</xdr:col>
      <xdr:colOff>108085</xdr:colOff>
      <xdr:row>13</xdr:row>
      <xdr:rowOff>183851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1651161" y="2985850"/>
          <a:ext cx="429477" cy="41353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83927</xdr:colOff>
      <xdr:row>15</xdr:row>
      <xdr:rowOff>13511</xdr:rowOff>
    </xdr:from>
    <xdr:to>
      <xdr:col>4</xdr:col>
      <xdr:colOff>108084</xdr:colOff>
      <xdr:row>16</xdr:row>
      <xdr:rowOff>162128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BE23AD9-416E-9170-F359-AFE463B72251}"/>
            </a:ext>
          </a:extLst>
        </xdr:cNvPr>
        <xdr:cNvSpPr/>
      </xdr:nvSpPr>
      <xdr:spPr>
        <a:xfrm>
          <a:off x="1664672" y="3715426"/>
          <a:ext cx="415965" cy="391808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285155</xdr:colOff>
      <xdr:row>13</xdr:row>
      <xdr:rowOff>183851</xdr:rowOff>
    </xdr:from>
    <xdr:to>
      <xdr:col>3</xdr:col>
      <xdr:colOff>291910</xdr:colOff>
      <xdr:row>15</xdr:row>
      <xdr:rowOff>13511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431EE80-A4C1-AF81-AF56-3EECEE681698}"/>
            </a:ext>
          </a:extLst>
        </xdr:cNvPr>
        <xdr:cNvCxnSpPr>
          <a:cxnSpLocks/>
          <a:stCxn id="12" idx="4"/>
          <a:endCxn id="13" idx="0"/>
        </xdr:cNvCxnSpPr>
      </xdr:nvCxnSpPr>
      <xdr:spPr>
        <a:xfrm>
          <a:off x="1865900" y="3399383"/>
          <a:ext cx="6755" cy="3160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94576</xdr:colOff>
      <xdr:row>11</xdr:row>
      <xdr:rowOff>229681</xdr:rowOff>
    </xdr:from>
    <xdr:to>
      <xdr:col>3</xdr:col>
      <xdr:colOff>1</xdr:colOff>
      <xdr:row>13</xdr:row>
      <xdr:rowOff>209067</xdr:rowOff>
    </xdr:to>
    <xdr:sp macro="" textlink="">
      <xdr:nvSpPr>
        <xdr:cNvPr id="15" name="TextBox 10">
          <a:extLst>
            <a:ext uri="{FF2B5EF4-FFF2-40B4-BE49-F238E27FC236}">
              <a16:creationId xmlns:a16="http://schemas.microsoft.com/office/drawing/2014/main" id="{9449EEAC-C477-17EC-A677-229366978422}"/>
            </a:ext>
          </a:extLst>
        </xdr:cNvPr>
        <xdr:cNvSpPr txBox="1"/>
      </xdr:nvSpPr>
      <xdr:spPr>
        <a:xfrm>
          <a:off x="1283512" y="2958830"/>
          <a:ext cx="297234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endParaRPr lang="en-US" sz="28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</xdr:col>
      <xdr:colOff>108085</xdr:colOff>
      <xdr:row>15</xdr:row>
      <xdr:rowOff>54042</xdr:rowOff>
    </xdr:from>
    <xdr:to>
      <xdr:col>3</xdr:col>
      <xdr:colOff>13510</xdr:colOff>
      <xdr:row>18</xdr:row>
      <xdr:rowOff>19917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5570AC2B-2026-3406-22A1-64D07ABDDA6E}"/>
            </a:ext>
          </a:extLst>
        </xdr:cNvPr>
        <xdr:cNvSpPr txBox="1"/>
      </xdr:nvSpPr>
      <xdr:spPr>
        <a:xfrm>
          <a:off x="1297021" y="3755957"/>
          <a:ext cx="297234" cy="7089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</a:p>
      </xdr:txBody>
    </xdr:sp>
    <xdr:clientData/>
  </xdr:twoCellAnchor>
  <xdr:twoCellAnchor>
    <xdr:from>
      <xdr:col>10</xdr:col>
      <xdr:colOff>70416</xdr:colOff>
      <xdr:row>12</xdr:row>
      <xdr:rowOff>13510</xdr:rowOff>
    </xdr:from>
    <xdr:to>
      <xdr:col>11</xdr:col>
      <xdr:colOff>108085</xdr:colOff>
      <xdr:row>13</xdr:row>
      <xdr:rowOff>183851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F2DEEBA-1B8E-FC4C-8E86-07D44A08AB10}"/>
            </a:ext>
          </a:extLst>
        </xdr:cNvPr>
        <xdr:cNvSpPr/>
      </xdr:nvSpPr>
      <xdr:spPr>
        <a:xfrm>
          <a:off x="1651161" y="2985850"/>
          <a:ext cx="429477" cy="41353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83927</xdr:colOff>
      <xdr:row>15</xdr:row>
      <xdr:rowOff>13511</xdr:rowOff>
    </xdr:from>
    <xdr:to>
      <xdr:col>11</xdr:col>
      <xdr:colOff>108084</xdr:colOff>
      <xdr:row>16</xdr:row>
      <xdr:rowOff>162128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94FCD9F-C62E-0C43-9ACD-56A37016957C}"/>
            </a:ext>
          </a:extLst>
        </xdr:cNvPr>
        <xdr:cNvSpPr/>
      </xdr:nvSpPr>
      <xdr:spPr>
        <a:xfrm>
          <a:off x="1664672" y="3715426"/>
          <a:ext cx="415965" cy="391808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285155</xdr:colOff>
      <xdr:row>13</xdr:row>
      <xdr:rowOff>183851</xdr:rowOff>
    </xdr:from>
    <xdr:to>
      <xdr:col>10</xdr:col>
      <xdr:colOff>291910</xdr:colOff>
      <xdr:row>15</xdr:row>
      <xdr:rowOff>13511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E604639-2C4B-5F42-94DC-5100EAD971D9}"/>
            </a:ext>
          </a:extLst>
        </xdr:cNvPr>
        <xdr:cNvCxnSpPr>
          <a:cxnSpLocks/>
          <a:stCxn id="29" idx="4"/>
          <a:endCxn id="30" idx="0"/>
        </xdr:cNvCxnSpPr>
      </xdr:nvCxnSpPr>
      <xdr:spPr>
        <a:xfrm>
          <a:off x="1865900" y="3399383"/>
          <a:ext cx="6755" cy="3160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94576</xdr:colOff>
      <xdr:row>11</xdr:row>
      <xdr:rowOff>229681</xdr:rowOff>
    </xdr:from>
    <xdr:to>
      <xdr:col>10</xdr:col>
      <xdr:colOff>1</xdr:colOff>
      <xdr:row>13</xdr:row>
      <xdr:rowOff>209067</xdr:rowOff>
    </xdr:to>
    <xdr:sp macro="" textlink="">
      <xdr:nvSpPr>
        <xdr:cNvPr id="32" name="TextBox 10">
          <a:extLst>
            <a:ext uri="{FF2B5EF4-FFF2-40B4-BE49-F238E27FC236}">
              <a16:creationId xmlns:a16="http://schemas.microsoft.com/office/drawing/2014/main" id="{6DD8CB94-6335-0D41-98F0-10695F7EFA35}"/>
            </a:ext>
          </a:extLst>
        </xdr:cNvPr>
        <xdr:cNvSpPr txBox="1"/>
      </xdr:nvSpPr>
      <xdr:spPr>
        <a:xfrm>
          <a:off x="1283512" y="2958830"/>
          <a:ext cx="297234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endParaRPr lang="en-US" sz="28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9</xdr:col>
      <xdr:colOff>108085</xdr:colOff>
      <xdr:row>15</xdr:row>
      <xdr:rowOff>54042</xdr:rowOff>
    </xdr:from>
    <xdr:to>
      <xdr:col>10</xdr:col>
      <xdr:colOff>13510</xdr:colOff>
      <xdr:row>18</xdr:row>
      <xdr:rowOff>19917</xdr:rowOff>
    </xdr:to>
    <xdr:sp macro="" textlink="">
      <xdr:nvSpPr>
        <xdr:cNvPr id="33" name="TextBox 13">
          <a:extLst>
            <a:ext uri="{FF2B5EF4-FFF2-40B4-BE49-F238E27FC236}">
              <a16:creationId xmlns:a16="http://schemas.microsoft.com/office/drawing/2014/main" id="{01E0B82B-5303-064B-A91F-07AC8361168F}"/>
            </a:ext>
          </a:extLst>
        </xdr:cNvPr>
        <xdr:cNvSpPr txBox="1"/>
      </xdr:nvSpPr>
      <xdr:spPr>
        <a:xfrm>
          <a:off x="1297021" y="3755957"/>
          <a:ext cx="297234" cy="7089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</a:p>
      </xdr:txBody>
    </xdr:sp>
    <xdr:clientData/>
  </xdr:twoCellAnchor>
  <xdr:twoCellAnchor>
    <xdr:from>
      <xdr:col>17</xdr:col>
      <xdr:colOff>70416</xdr:colOff>
      <xdr:row>12</xdr:row>
      <xdr:rowOff>13510</xdr:rowOff>
    </xdr:from>
    <xdr:to>
      <xdr:col>18</xdr:col>
      <xdr:colOff>108085</xdr:colOff>
      <xdr:row>13</xdr:row>
      <xdr:rowOff>183851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FF173E1-49C3-C545-8B0F-EFD0D99B5AED}"/>
            </a:ext>
          </a:extLst>
        </xdr:cNvPr>
        <xdr:cNvSpPr/>
      </xdr:nvSpPr>
      <xdr:spPr>
        <a:xfrm>
          <a:off x="4542437" y="2985850"/>
          <a:ext cx="442988" cy="41353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17</xdr:col>
      <xdr:colOff>83927</xdr:colOff>
      <xdr:row>15</xdr:row>
      <xdr:rowOff>13511</xdr:rowOff>
    </xdr:from>
    <xdr:to>
      <xdr:col>18</xdr:col>
      <xdr:colOff>108084</xdr:colOff>
      <xdr:row>16</xdr:row>
      <xdr:rowOff>162128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3792294-F113-3C47-A328-5A49D9154076}"/>
            </a:ext>
          </a:extLst>
        </xdr:cNvPr>
        <xdr:cNvSpPr/>
      </xdr:nvSpPr>
      <xdr:spPr>
        <a:xfrm>
          <a:off x="4555948" y="3715426"/>
          <a:ext cx="429476" cy="391808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17</xdr:col>
      <xdr:colOff>285155</xdr:colOff>
      <xdr:row>13</xdr:row>
      <xdr:rowOff>183851</xdr:rowOff>
    </xdr:from>
    <xdr:to>
      <xdr:col>17</xdr:col>
      <xdr:colOff>291910</xdr:colOff>
      <xdr:row>15</xdr:row>
      <xdr:rowOff>13511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3859264-87D2-1246-AAEE-7DAEF66E6726}"/>
            </a:ext>
          </a:extLst>
        </xdr:cNvPr>
        <xdr:cNvCxnSpPr>
          <a:cxnSpLocks/>
          <a:stCxn id="34" idx="4"/>
          <a:endCxn id="35" idx="0"/>
        </xdr:cNvCxnSpPr>
      </xdr:nvCxnSpPr>
      <xdr:spPr>
        <a:xfrm>
          <a:off x="4757176" y="3399383"/>
          <a:ext cx="6755" cy="3160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94576</xdr:colOff>
      <xdr:row>11</xdr:row>
      <xdr:rowOff>229681</xdr:rowOff>
    </xdr:from>
    <xdr:to>
      <xdr:col>17</xdr:col>
      <xdr:colOff>1</xdr:colOff>
      <xdr:row>13</xdr:row>
      <xdr:rowOff>209067</xdr:rowOff>
    </xdr:to>
    <xdr:sp macro="" textlink="">
      <xdr:nvSpPr>
        <xdr:cNvPr id="37" name="TextBox 10">
          <a:extLst>
            <a:ext uri="{FF2B5EF4-FFF2-40B4-BE49-F238E27FC236}">
              <a16:creationId xmlns:a16="http://schemas.microsoft.com/office/drawing/2014/main" id="{06F40DC5-0CA1-514F-B5AA-2F8ED534605F}"/>
            </a:ext>
          </a:extLst>
        </xdr:cNvPr>
        <xdr:cNvSpPr txBox="1"/>
      </xdr:nvSpPr>
      <xdr:spPr>
        <a:xfrm>
          <a:off x="4201810" y="2958830"/>
          <a:ext cx="270212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endParaRPr lang="en-US" sz="28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16</xdr:col>
      <xdr:colOff>108085</xdr:colOff>
      <xdr:row>15</xdr:row>
      <xdr:rowOff>54042</xdr:rowOff>
    </xdr:from>
    <xdr:to>
      <xdr:col>17</xdr:col>
      <xdr:colOff>13510</xdr:colOff>
      <xdr:row>18</xdr:row>
      <xdr:rowOff>19917</xdr:rowOff>
    </xdr:to>
    <xdr:sp macro="" textlink="">
      <xdr:nvSpPr>
        <xdr:cNvPr id="38" name="TextBox 13">
          <a:extLst>
            <a:ext uri="{FF2B5EF4-FFF2-40B4-BE49-F238E27FC236}">
              <a16:creationId xmlns:a16="http://schemas.microsoft.com/office/drawing/2014/main" id="{7F0CFF93-61CF-A843-B513-A1A6F28D9310}"/>
            </a:ext>
          </a:extLst>
        </xdr:cNvPr>
        <xdr:cNvSpPr txBox="1"/>
      </xdr:nvSpPr>
      <xdr:spPr>
        <a:xfrm>
          <a:off x="4215319" y="3755957"/>
          <a:ext cx="270212" cy="7089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</a:p>
      </xdr:txBody>
    </xdr:sp>
    <xdr:clientData/>
  </xdr:twoCellAnchor>
  <xdr:twoCellAnchor>
    <xdr:from>
      <xdr:col>24</xdr:col>
      <xdr:colOff>118514</xdr:colOff>
      <xdr:row>11</xdr:row>
      <xdr:rowOff>0</xdr:rowOff>
    </xdr:from>
    <xdr:to>
      <xdr:col>25</xdr:col>
      <xdr:colOff>203200</xdr:colOff>
      <xdr:row>12</xdr:row>
      <xdr:rowOff>139700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10367414" y="2895600"/>
          <a:ext cx="440286" cy="381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23</xdr:col>
      <xdr:colOff>128454</xdr:colOff>
      <xdr:row>14</xdr:row>
      <xdr:rowOff>181776</xdr:rowOff>
    </xdr:from>
    <xdr:to>
      <xdr:col>24</xdr:col>
      <xdr:colOff>215900</xdr:colOff>
      <xdr:row>16</xdr:row>
      <xdr:rowOff>88900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7BE23AD9-416E-9170-F359-AFE463B72251}"/>
            </a:ext>
          </a:extLst>
        </xdr:cNvPr>
        <xdr:cNvSpPr/>
      </xdr:nvSpPr>
      <xdr:spPr>
        <a:xfrm>
          <a:off x="10047154" y="3801276"/>
          <a:ext cx="417646" cy="389724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24</xdr:col>
      <xdr:colOff>7077</xdr:colOff>
      <xdr:row>12</xdr:row>
      <xdr:rowOff>139700</xdr:rowOff>
    </xdr:from>
    <xdr:to>
      <xdr:col>24</xdr:col>
      <xdr:colOff>338657</xdr:colOff>
      <xdr:row>14</xdr:row>
      <xdr:rowOff>181776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431EE80-A4C1-AF81-AF56-3EECEE681698}"/>
            </a:ext>
          </a:extLst>
        </xdr:cNvPr>
        <xdr:cNvCxnSpPr>
          <a:cxnSpLocks/>
          <a:stCxn id="57" idx="4"/>
          <a:endCxn id="58" idx="0"/>
        </xdr:cNvCxnSpPr>
      </xdr:nvCxnSpPr>
      <xdr:spPr>
        <a:xfrm flipH="1">
          <a:off x="10255977" y="3276600"/>
          <a:ext cx="331580" cy="52467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183204</xdr:colOff>
      <xdr:row>16</xdr:row>
      <xdr:rowOff>50887</xdr:rowOff>
    </xdr:from>
    <xdr:to>
      <xdr:col>24</xdr:col>
      <xdr:colOff>215900</xdr:colOff>
      <xdr:row>18</xdr:row>
      <xdr:rowOff>21356</xdr:rowOff>
    </xdr:to>
    <xdr:sp macro="" textlink="">
      <xdr:nvSpPr>
        <xdr:cNvPr id="61" name="TextBox 13">
          <a:extLst>
            <a:ext uri="{FF2B5EF4-FFF2-40B4-BE49-F238E27FC236}">
              <a16:creationId xmlns:a16="http://schemas.microsoft.com/office/drawing/2014/main" id="{5570AC2B-2026-3406-22A1-64D07ABDDA6E}"/>
            </a:ext>
          </a:extLst>
        </xdr:cNvPr>
        <xdr:cNvSpPr txBox="1"/>
      </xdr:nvSpPr>
      <xdr:spPr>
        <a:xfrm>
          <a:off x="10101904" y="4152987"/>
          <a:ext cx="362896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25</xdr:col>
      <xdr:colOff>122192</xdr:colOff>
      <xdr:row>14</xdr:row>
      <xdr:rowOff>156376</xdr:rowOff>
    </xdr:from>
    <xdr:to>
      <xdr:col>26</xdr:col>
      <xdr:colOff>203200</xdr:colOff>
      <xdr:row>16</xdr:row>
      <xdr:rowOff>76200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31D18F5-FF21-FE6B-83D1-BF3EA89CC33A}"/>
            </a:ext>
          </a:extLst>
        </xdr:cNvPr>
        <xdr:cNvSpPr/>
      </xdr:nvSpPr>
      <xdr:spPr>
        <a:xfrm>
          <a:off x="10726692" y="3775876"/>
          <a:ext cx="411208" cy="402424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24</xdr:col>
      <xdr:colOff>338657</xdr:colOff>
      <xdr:row>12</xdr:row>
      <xdr:rowOff>139700</xdr:rowOff>
    </xdr:from>
    <xdr:to>
      <xdr:col>25</xdr:col>
      <xdr:colOff>327796</xdr:colOff>
      <xdr:row>14</xdr:row>
      <xdr:rowOff>156376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57" idx="4"/>
          <a:endCxn id="62" idx="0"/>
        </xdr:cNvCxnSpPr>
      </xdr:nvCxnSpPr>
      <xdr:spPr>
        <a:xfrm>
          <a:off x="10587557" y="3276600"/>
          <a:ext cx="344739" cy="49927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215352</xdr:colOff>
      <xdr:row>16</xdr:row>
      <xdr:rowOff>38187</xdr:rowOff>
    </xdr:from>
    <xdr:to>
      <xdr:col>26</xdr:col>
      <xdr:colOff>254000</xdr:colOff>
      <xdr:row>18</xdr:row>
      <xdr:rowOff>8656</xdr:rowOff>
    </xdr:to>
    <xdr:sp macro="" textlink="">
      <xdr:nvSpPr>
        <xdr:cNvPr id="64" name="TextBox 24">
          <a:extLst>
            <a:ext uri="{FF2B5EF4-FFF2-40B4-BE49-F238E27FC236}">
              <a16:creationId xmlns:a16="http://schemas.microsoft.com/office/drawing/2014/main" id="{FF1ED835-5BB4-8ECC-E3DD-C3D3DAE4C1E1}"/>
            </a:ext>
          </a:extLst>
        </xdr:cNvPr>
        <xdr:cNvSpPr txBox="1"/>
      </xdr:nvSpPr>
      <xdr:spPr>
        <a:xfrm>
          <a:off x="10819852" y="4140287"/>
          <a:ext cx="368848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23</xdr:col>
      <xdr:colOff>101600</xdr:colOff>
      <xdr:row>10</xdr:row>
      <xdr:rowOff>215900</xdr:rowOff>
    </xdr:from>
    <xdr:to>
      <xdr:col>24</xdr:col>
      <xdr:colOff>45125</xdr:colOff>
      <xdr:row>12</xdr:row>
      <xdr:rowOff>195286</xdr:rowOff>
    </xdr:to>
    <xdr:sp macro="" textlink="">
      <xdr:nvSpPr>
        <xdr:cNvPr id="77" name="TextBox 10">
          <a:extLst>
            <a:ext uri="{FF2B5EF4-FFF2-40B4-BE49-F238E27FC236}">
              <a16:creationId xmlns:a16="http://schemas.microsoft.com/office/drawing/2014/main" id="{F4F6A2AD-2AEB-5142-B0C9-48191F0972C3}"/>
            </a:ext>
          </a:extLst>
        </xdr:cNvPr>
        <xdr:cNvSpPr txBox="1"/>
      </xdr:nvSpPr>
      <xdr:spPr>
        <a:xfrm>
          <a:off x="10020300" y="2870200"/>
          <a:ext cx="273725" cy="4619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endParaRPr lang="en-US" sz="28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31</xdr:col>
      <xdr:colOff>171913</xdr:colOff>
      <xdr:row>12</xdr:row>
      <xdr:rowOff>27912</xdr:rowOff>
    </xdr:from>
    <xdr:to>
      <xdr:col>32</xdr:col>
      <xdr:colOff>209342</xdr:colOff>
      <xdr:row>13</xdr:row>
      <xdr:rowOff>195385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13262682" y="2874945"/>
          <a:ext cx="428198" cy="40472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270147</xdr:colOff>
      <xdr:row>15</xdr:row>
      <xdr:rowOff>125534</xdr:rowOff>
    </xdr:from>
    <xdr:to>
      <xdr:col>30</xdr:col>
      <xdr:colOff>349444</xdr:colOff>
      <xdr:row>17</xdr:row>
      <xdr:rowOff>55754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7BE23AD9-416E-9170-F359-AFE463B72251}"/>
            </a:ext>
          </a:extLst>
        </xdr:cNvPr>
        <xdr:cNvSpPr/>
      </xdr:nvSpPr>
      <xdr:spPr>
        <a:xfrm>
          <a:off x="12607290" y="3684325"/>
          <a:ext cx="428198" cy="404726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30</xdr:col>
      <xdr:colOff>135345</xdr:colOff>
      <xdr:row>13</xdr:row>
      <xdr:rowOff>195385</xdr:rowOff>
    </xdr:from>
    <xdr:to>
      <xdr:col>31</xdr:col>
      <xdr:colOff>386012</xdr:colOff>
      <xdr:row>15</xdr:row>
      <xdr:rowOff>125534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F431EE80-A4C1-AF81-AF56-3EECEE681698}"/>
            </a:ext>
          </a:extLst>
        </xdr:cNvPr>
        <xdr:cNvCxnSpPr>
          <a:cxnSpLocks/>
          <a:stCxn id="87" idx="4"/>
          <a:endCxn id="88" idx="0"/>
        </xdr:cNvCxnSpPr>
      </xdr:nvCxnSpPr>
      <xdr:spPr>
        <a:xfrm flipH="1">
          <a:off x="12821389" y="3279671"/>
          <a:ext cx="655392" cy="40465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111648</xdr:colOff>
      <xdr:row>12</xdr:row>
      <xdr:rowOff>13956</xdr:rowOff>
    </xdr:from>
    <xdr:to>
      <xdr:col>31</xdr:col>
      <xdr:colOff>13956</xdr:colOff>
      <xdr:row>14</xdr:row>
      <xdr:rowOff>16684</xdr:rowOff>
    </xdr:to>
    <xdr:sp macro="" textlink="">
      <xdr:nvSpPr>
        <xdr:cNvPr id="90" name="TextBox 10">
          <a:extLst>
            <a:ext uri="{FF2B5EF4-FFF2-40B4-BE49-F238E27FC236}">
              <a16:creationId xmlns:a16="http://schemas.microsoft.com/office/drawing/2014/main" id="{9449EEAC-C477-17EC-A677-229366978422}"/>
            </a:ext>
          </a:extLst>
        </xdr:cNvPr>
        <xdr:cNvSpPr txBox="1"/>
      </xdr:nvSpPr>
      <xdr:spPr>
        <a:xfrm>
          <a:off x="12797692" y="2860989"/>
          <a:ext cx="307033" cy="4772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</a:p>
      </xdr:txBody>
    </xdr:sp>
    <xdr:clientData/>
  </xdr:twoCellAnchor>
  <xdr:twoCellAnchor>
    <xdr:from>
      <xdr:col>29</xdr:col>
      <xdr:colOff>320988</xdr:colOff>
      <xdr:row>17</xdr:row>
      <xdr:rowOff>6926</xdr:rowOff>
    </xdr:from>
    <xdr:to>
      <xdr:col>31</xdr:col>
      <xdr:colOff>32125</xdr:colOff>
      <xdr:row>18</xdr:row>
      <xdr:rowOff>221487</xdr:rowOff>
    </xdr:to>
    <xdr:sp macro="" textlink="">
      <xdr:nvSpPr>
        <xdr:cNvPr id="91" name="TextBox 13">
          <a:extLst>
            <a:ext uri="{FF2B5EF4-FFF2-40B4-BE49-F238E27FC236}">
              <a16:creationId xmlns:a16="http://schemas.microsoft.com/office/drawing/2014/main" id="{5570AC2B-2026-3406-22A1-64D07ABDDA6E}"/>
            </a:ext>
          </a:extLst>
        </xdr:cNvPr>
        <xdr:cNvSpPr txBox="1"/>
      </xdr:nvSpPr>
      <xdr:spPr>
        <a:xfrm>
          <a:off x="12658131" y="4040223"/>
          <a:ext cx="46476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31</xdr:col>
      <xdr:colOff>171913</xdr:colOff>
      <xdr:row>15</xdr:row>
      <xdr:rowOff>139561</xdr:rowOff>
    </xdr:from>
    <xdr:to>
      <xdr:col>32</xdr:col>
      <xdr:colOff>209342</xdr:colOff>
      <xdr:row>17</xdr:row>
      <xdr:rowOff>55753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631D18F5-FF21-FE6B-83D1-BF3EA89CC33A}"/>
            </a:ext>
          </a:extLst>
        </xdr:cNvPr>
        <xdr:cNvSpPr/>
      </xdr:nvSpPr>
      <xdr:spPr>
        <a:xfrm>
          <a:off x="13262682" y="3698352"/>
          <a:ext cx="428198" cy="390698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386012</xdr:colOff>
      <xdr:row>13</xdr:row>
      <xdr:rowOff>195385</xdr:rowOff>
    </xdr:from>
    <xdr:to>
      <xdr:col>31</xdr:col>
      <xdr:colOff>386012</xdr:colOff>
      <xdr:row>15</xdr:row>
      <xdr:rowOff>139561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87" idx="4"/>
          <a:endCxn id="92" idx="0"/>
        </xdr:cNvCxnSpPr>
      </xdr:nvCxnSpPr>
      <xdr:spPr>
        <a:xfrm>
          <a:off x="13476781" y="3279671"/>
          <a:ext cx="0" cy="41868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270377</xdr:colOff>
      <xdr:row>16</xdr:row>
      <xdr:rowOff>230223</xdr:rowOff>
    </xdr:from>
    <xdr:to>
      <xdr:col>32</xdr:col>
      <xdr:colOff>344371</xdr:colOff>
      <xdr:row>18</xdr:row>
      <xdr:rowOff>207531</xdr:rowOff>
    </xdr:to>
    <xdr:sp macro="" textlink="">
      <xdr:nvSpPr>
        <xdr:cNvPr id="94" name="TextBox 24">
          <a:extLst>
            <a:ext uri="{FF2B5EF4-FFF2-40B4-BE49-F238E27FC236}">
              <a16:creationId xmlns:a16="http://schemas.microsoft.com/office/drawing/2014/main" id="{FF1ED835-5BB4-8ECC-E3DD-C3D3DAE4C1E1}"/>
            </a:ext>
          </a:extLst>
        </xdr:cNvPr>
        <xdr:cNvSpPr txBox="1"/>
      </xdr:nvSpPr>
      <xdr:spPr>
        <a:xfrm>
          <a:off x="13361146" y="4026267"/>
          <a:ext cx="46476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33</xdr:col>
      <xdr:colOff>18097</xdr:colOff>
      <xdr:row>15</xdr:row>
      <xdr:rowOff>111576</xdr:rowOff>
    </xdr:from>
    <xdr:to>
      <xdr:col>34</xdr:col>
      <xdr:colOff>69482</xdr:colOff>
      <xdr:row>17</xdr:row>
      <xdr:rowOff>41796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3F52F050-18BD-68BA-08DC-7AE56C8012AA}"/>
            </a:ext>
          </a:extLst>
        </xdr:cNvPr>
        <xdr:cNvSpPr/>
      </xdr:nvSpPr>
      <xdr:spPr>
        <a:xfrm>
          <a:off x="13876449" y="3670367"/>
          <a:ext cx="428198" cy="404726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33</xdr:col>
      <xdr:colOff>104238</xdr:colOff>
      <xdr:row>16</xdr:row>
      <xdr:rowOff>230221</xdr:rowOff>
    </xdr:from>
    <xdr:to>
      <xdr:col>34</xdr:col>
      <xdr:colOff>192188</xdr:colOff>
      <xdr:row>18</xdr:row>
      <xdr:rowOff>207529</xdr:rowOff>
    </xdr:to>
    <xdr:sp macro="" textlink="">
      <xdr:nvSpPr>
        <xdr:cNvPr id="96" name="TextBox 22">
          <a:extLst>
            <a:ext uri="{FF2B5EF4-FFF2-40B4-BE49-F238E27FC236}">
              <a16:creationId xmlns:a16="http://schemas.microsoft.com/office/drawing/2014/main" id="{33ECC1AF-1510-A9D9-1320-5A8AF54832D6}"/>
            </a:ext>
          </a:extLst>
        </xdr:cNvPr>
        <xdr:cNvSpPr txBox="1"/>
      </xdr:nvSpPr>
      <xdr:spPr>
        <a:xfrm>
          <a:off x="13962590" y="4026265"/>
          <a:ext cx="46476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31</xdr:col>
      <xdr:colOff>386012</xdr:colOff>
      <xdr:row>13</xdr:row>
      <xdr:rowOff>195385</xdr:rowOff>
    </xdr:from>
    <xdr:to>
      <xdr:col>33</xdr:col>
      <xdr:colOff>232196</xdr:colOff>
      <xdr:row>15</xdr:row>
      <xdr:rowOff>111576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8837BD97-C652-719A-175F-D2DDFF59F578}"/>
            </a:ext>
          </a:extLst>
        </xdr:cNvPr>
        <xdr:cNvCxnSpPr>
          <a:cxnSpLocks/>
          <a:stCxn id="87" idx="4"/>
          <a:endCxn id="95" idx="0"/>
        </xdr:cNvCxnSpPr>
      </xdr:nvCxnSpPr>
      <xdr:spPr>
        <a:xfrm>
          <a:off x="13476781" y="3279671"/>
          <a:ext cx="613767" cy="39069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11</xdr:row>
      <xdr:rowOff>121356</xdr:rowOff>
    </xdr:from>
    <xdr:to>
      <xdr:col>3</xdr:col>
      <xdr:colOff>203200</xdr:colOff>
      <xdr:row>13</xdr:row>
      <xdr:rowOff>63500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1282700" y="2851856"/>
          <a:ext cx="444500" cy="42474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194083</xdr:colOff>
      <xdr:row>9</xdr:row>
      <xdr:rowOff>203200</xdr:rowOff>
    </xdr:from>
    <xdr:to>
      <xdr:col>4</xdr:col>
      <xdr:colOff>38100</xdr:colOff>
      <xdr:row>11</xdr:row>
      <xdr:rowOff>148269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449EEAC-C477-17EC-A677-229366978422}"/>
            </a:ext>
          </a:extLst>
        </xdr:cNvPr>
        <xdr:cNvSpPr txBox="1"/>
      </xdr:nvSpPr>
      <xdr:spPr>
        <a:xfrm>
          <a:off x="1375183" y="2413000"/>
          <a:ext cx="52981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</xdr:col>
      <xdr:colOff>279400</xdr:colOff>
      <xdr:row>15</xdr:row>
      <xdr:rowOff>125333</xdr:rowOff>
    </xdr:from>
    <xdr:to>
      <xdr:col>5</xdr:col>
      <xdr:colOff>25400</xdr:colOff>
      <xdr:row>17</xdr:row>
      <xdr:rowOff>88900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31D18F5-FF21-FE6B-83D1-BF3EA89CC33A}"/>
            </a:ext>
          </a:extLst>
        </xdr:cNvPr>
        <xdr:cNvSpPr/>
      </xdr:nvSpPr>
      <xdr:spPr>
        <a:xfrm>
          <a:off x="1803400" y="3821033"/>
          <a:ext cx="431800" cy="446167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323850</xdr:colOff>
      <xdr:row>13</xdr:row>
      <xdr:rowOff>63500</xdr:rowOff>
    </xdr:from>
    <xdr:to>
      <xdr:col>4</xdr:col>
      <xdr:colOff>152400</xdr:colOff>
      <xdr:row>15</xdr:row>
      <xdr:rowOff>125333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10" idx="4"/>
          <a:endCxn id="12" idx="0"/>
        </xdr:cNvCxnSpPr>
      </xdr:nvCxnSpPr>
      <xdr:spPr>
        <a:xfrm>
          <a:off x="1504950" y="3276600"/>
          <a:ext cx="514350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14225</xdr:colOff>
      <xdr:row>17</xdr:row>
      <xdr:rowOff>33592</xdr:rowOff>
    </xdr:from>
    <xdr:to>
      <xdr:col>5</xdr:col>
      <xdr:colOff>177800</xdr:colOff>
      <xdr:row>19</xdr:row>
      <xdr:rowOff>4061</xdr:rowOff>
    </xdr:to>
    <xdr:sp macro="" textlink="">
      <xdr:nvSpPr>
        <xdr:cNvPr id="14" name="TextBox 24">
          <a:extLst>
            <a:ext uri="{FF2B5EF4-FFF2-40B4-BE49-F238E27FC236}">
              <a16:creationId xmlns:a16="http://schemas.microsoft.com/office/drawing/2014/main" id="{FF1ED835-5BB4-8ECC-E3DD-C3D3DAE4C1E1}"/>
            </a:ext>
          </a:extLst>
        </xdr:cNvPr>
        <xdr:cNvSpPr txBox="1"/>
      </xdr:nvSpPr>
      <xdr:spPr>
        <a:xfrm>
          <a:off x="1881125" y="4211892"/>
          <a:ext cx="506475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5</xdr:col>
      <xdr:colOff>161312</xdr:colOff>
      <xdr:row>11</xdr:row>
      <xdr:rowOff>121601</xdr:rowOff>
    </xdr:from>
    <xdr:to>
      <xdr:col>6</xdr:col>
      <xdr:colOff>241300</xdr:colOff>
      <xdr:row>13</xdr:row>
      <xdr:rowOff>63500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0443325-2DDB-B6AB-14DE-04DF66609704}"/>
            </a:ext>
          </a:extLst>
        </xdr:cNvPr>
        <xdr:cNvSpPr/>
      </xdr:nvSpPr>
      <xdr:spPr>
        <a:xfrm>
          <a:off x="2371112" y="2852101"/>
          <a:ext cx="435588" cy="42449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152400</xdr:colOff>
      <xdr:row>13</xdr:row>
      <xdr:rowOff>63500</xdr:rowOff>
    </xdr:from>
    <xdr:to>
      <xdr:col>6</xdr:col>
      <xdr:colOff>23506</xdr:colOff>
      <xdr:row>15</xdr:row>
      <xdr:rowOff>125333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EAC3926-A8FD-BDE5-602E-BC0A384FC01C}"/>
            </a:ext>
          </a:extLst>
        </xdr:cNvPr>
        <xdr:cNvCxnSpPr>
          <a:cxnSpLocks/>
          <a:stCxn id="15" idx="4"/>
          <a:endCxn id="12" idx="0"/>
        </xdr:cNvCxnSpPr>
      </xdr:nvCxnSpPr>
      <xdr:spPr>
        <a:xfrm flipH="1">
          <a:off x="2019300" y="3276600"/>
          <a:ext cx="569606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200769</xdr:colOff>
      <xdr:row>9</xdr:row>
      <xdr:rowOff>221775</xdr:rowOff>
    </xdr:from>
    <xdr:to>
      <xdr:col>7</xdr:col>
      <xdr:colOff>23292</xdr:colOff>
      <xdr:row>11</xdr:row>
      <xdr:rowOff>166844</xdr:rowOff>
    </xdr:to>
    <xdr:sp macro="" textlink="">
      <xdr:nvSpPr>
        <xdr:cNvPr id="17" name="TextBox 36">
          <a:extLst>
            <a:ext uri="{FF2B5EF4-FFF2-40B4-BE49-F238E27FC236}">
              <a16:creationId xmlns:a16="http://schemas.microsoft.com/office/drawing/2014/main" id="{09DC33A3-445D-096B-64F9-844F919101BD}"/>
            </a:ext>
          </a:extLst>
        </xdr:cNvPr>
        <xdr:cNvSpPr txBox="1"/>
      </xdr:nvSpPr>
      <xdr:spPr>
        <a:xfrm>
          <a:off x="2410569" y="2431575"/>
          <a:ext cx="54642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10</xdr:col>
      <xdr:colOff>101600</xdr:colOff>
      <xdr:row>11</xdr:row>
      <xdr:rowOff>121356</xdr:rowOff>
    </xdr:from>
    <xdr:to>
      <xdr:col>11</xdr:col>
      <xdr:colOff>203200</xdr:colOff>
      <xdr:row>13</xdr:row>
      <xdr:rowOff>63500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C2C4CD7-0C45-3745-A517-4F2D0695A247}"/>
            </a:ext>
          </a:extLst>
        </xdr:cNvPr>
        <xdr:cNvSpPr/>
      </xdr:nvSpPr>
      <xdr:spPr>
        <a:xfrm>
          <a:off x="1282700" y="2851856"/>
          <a:ext cx="444500" cy="42474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194083</xdr:colOff>
      <xdr:row>9</xdr:row>
      <xdr:rowOff>203200</xdr:rowOff>
    </xdr:from>
    <xdr:to>
      <xdr:col>12</xdr:col>
      <xdr:colOff>38100</xdr:colOff>
      <xdr:row>11</xdr:row>
      <xdr:rowOff>148269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76B8A49-C0C2-584D-8281-DE70172DB7E9}"/>
            </a:ext>
          </a:extLst>
        </xdr:cNvPr>
        <xdr:cNvSpPr txBox="1"/>
      </xdr:nvSpPr>
      <xdr:spPr>
        <a:xfrm>
          <a:off x="1375183" y="2413000"/>
          <a:ext cx="52981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11</xdr:col>
      <xdr:colOff>279400</xdr:colOff>
      <xdr:row>15</xdr:row>
      <xdr:rowOff>125333</xdr:rowOff>
    </xdr:from>
    <xdr:to>
      <xdr:col>13</xdr:col>
      <xdr:colOff>25400</xdr:colOff>
      <xdr:row>17</xdr:row>
      <xdr:rowOff>88900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CC22779-A5A9-6049-B22B-7C2870020B7C}"/>
            </a:ext>
          </a:extLst>
        </xdr:cNvPr>
        <xdr:cNvSpPr/>
      </xdr:nvSpPr>
      <xdr:spPr>
        <a:xfrm>
          <a:off x="1803400" y="3821033"/>
          <a:ext cx="431800" cy="446167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323850</xdr:colOff>
      <xdr:row>13</xdr:row>
      <xdr:rowOff>63500</xdr:rowOff>
    </xdr:from>
    <xdr:to>
      <xdr:col>12</xdr:col>
      <xdr:colOff>152400</xdr:colOff>
      <xdr:row>15</xdr:row>
      <xdr:rowOff>125333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DAB409F-EDFB-6648-8C09-7DEC8BC2F6BB}"/>
            </a:ext>
          </a:extLst>
        </xdr:cNvPr>
        <xdr:cNvCxnSpPr>
          <a:cxnSpLocks/>
          <a:stCxn id="38" idx="4"/>
          <a:endCxn id="40" idx="0"/>
        </xdr:cNvCxnSpPr>
      </xdr:nvCxnSpPr>
      <xdr:spPr>
        <a:xfrm>
          <a:off x="1504950" y="3276600"/>
          <a:ext cx="514350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14225</xdr:colOff>
      <xdr:row>17</xdr:row>
      <xdr:rowOff>33592</xdr:rowOff>
    </xdr:from>
    <xdr:to>
      <xdr:col>13</xdr:col>
      <xdr:colOff>177800</xdr:colOff>
      <xdr:row>19</xdr:row>
      <xdr:rowOff>4061</xdr:rowOff>
    </xdr:to>
    <xdr:sp macro="" textlink="">
      <xdr:nvSpPr>
        <xdr:cNvPr id="42" name="TextBox 24">
          <a:extLst>
            <a:ext uri="{FF2B5EF4-FFF2-40B4-BE49-F238E27FC236}">
              <a16:creationId xmlns:a16="http://schemas.microsoft.com/office/drawing/2014/main" id="{29D4922D-9DD0-1948-A3AD-E8B4A50E4A11}"/>
            </a:ext>
          </a:extLst>
        </xdr:cNvPr>
        <xdr:cNvSpPr txBox="1"/>
      </xdr:nvSpPr>
      <xdr:spPr>
        <a:xfrm>
          <a:off x="1881125" y="4211892"/>
          <a:ext cx="506475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13</xdr:col>
      <xdr:colOff>161312</xdr:colOff>
      <xdr:row>11</xdr:row>
      <xdr:rowOff>121601</xdr:rowOff>
    </xdr:from>
    <xdr:to>
      <xdr:col>14</xdr:col>
      <xdr:colOff>241300</xdr:colOff>
      <xdr:row>13</xdr:row>
      <xdr:rowOff>63500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66FA7A49-69D2-B641-A4CB-FDAA01A8485E}"/>
            </a:ext>
          </a:extLst>
        </xdr:cNvPr>
        <xdr:cNvSpPr/>
      </xdr:nvSpPr>
      <xdr:spPr>
        <a:xfrm>
          <a:off x="2371112" y="2852101"/>
          <a:ext cx="435588" cy="42449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152400</xdr:colOff>
      <xdr:row>13</xdr:row>
      <xdr:rowOff>63500</xdr:rowOff>
    </xdr:from>
    <xdr:to>
      <xdr:col>14</xdr:col>
      <xdr:colOff>23506</xdr:colOff>
      <xdr:row>15</xdr:row>
      <xdr:rowOff>125333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24C4BE9-7AE4-1649-B76F-A521746E528A}"/>
            </a:ext>
          </a:extLst>
        </xdr:cNvPr>
        <xdr:cNvCxnSpPr>
          <a:cxnSpLocks/>
          <a:stCxn id="43" idx="4"/>
          <a:endCxn id="40" idx="0"/>
        </xdr:cNvCxnSpPr>
      </xdr:nvCxnSpPr>
      <xdr:spPr>
        <a:xfrm flipH="1">
          <a:off x="2019300" y="3276600"/>
          <a:ext cx="569606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200769</xdr:colOff>
      <xdr:row>9</xdr:row>
      <xdr:rowOff>221775</xdr:rowOff>
    </xdr:from>
    <xdr:to>
      <xdr:col>15</xdr:col>
      <xdr:colOff>23292</xdr:colOff>
      <xdr:row>11</xdr:row>
      <xdr:rowOff>166844</xdr:rowOff>
    </xdr:to>
    <xdr:sp macro="" textlink="">
      <xdr:nvSpPr>
        <xdr:cNvPr id="45" name="TextBox 36">
          <a:extLst>
            <a:ext uri="{FF2B5EF4-FFF2-40B4-BE49-F238E27FC236}">
              <a16:creationId xmlns:a16="http://schemas.microsoft.com/office/drawing/2014/main" id="{15D0D440-6EDB-2947-AE66-8433EFAE0FF1}"/>
            </a:ext>
          </a:extLst>
        </xdr:cNvPr>
        <xdr:cNvSpPr txBox="1"/>
      </xdr:nvSpPr>
      <xdr:spPr>
        <a:xfrm>
          <a:off x="2410569" y="2431575"/>
          <a:ext cx="54642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18</xdr:col>
      <xdr:colOff>131041</xdr:colOff>
      <xdr:row>12</xdr:row>
      <xdr:rowOff>116739</xdr:rowOff>
    </xdr:from>
    <xdr:to>
      <xdr:col>19</xdr:col>
      <xdr:colOff>229022</xdr:colOff>
      <xdr:row>14</xdr:row>
      <xdr:rowOff>19117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7901132" y="3176284"/>
          <a:ext cx="455890" cy="38728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229298</xdr:colOff>
      <xdr:row>11</xdr:row>
      <xdr:rowOff>0</xdr:rowOff>
    </xdr:from>
    <xdr:to>
      <xdr:col>20</xdr:col>
      <xdr:colOff>60848</xdr:colOff>
      <xdr:row>12</xdr:row>
      <xdr:rowOff>188679</xdr:rowOff>
    </xdr:to>
    <xdr:sp macro="" textlink="">
      <xdr:nvSpPr>
        <xdr:cNvPr id="63" name="TextBox 10">
          <a:extLst>
            <a:ext uri="{FF2B5EF4-FFF2-40B4-BE49-F238E27FC236}">
              <a16:creationId xmlns:a16="http://schemas.microsoft.com/office/drawing/2014/main" id="{9449EEAC-C477-17EC-A677-229366978422}"/>
            </a:ext>
          </a:extLst>
        </xdr:cNvPr>
        <xdr:cNvSpPr txBox="1"/>
      </xdr:nvSpPr>
      <xdr:spPr>
        <a:xfrm>
          <a:off x="7999389" y="2782455"/>
          <a:ext cx="53582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19</xdr:col>
      <xdr:colOff>1077</xdr:colOff>
      <xdr:row>14</xdr:row>
      <xdr:rowOff>19117</xdr:rowOff>
    </xdr:from>
    <xdr:to>
      <xdr:col>19</xdr:col>
      <xdr:colOff>8582</xdr:colOff>
      <xdr:row>16</xdr:row>
      <xdr:rowOff>202686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62" idx="4"/>
          <a:endCxn id="68" idx="0"/>
        </xdr:cNvCxnSpPr>
      </xdr:nvCxnSpPr>
      <xdr:spPr>
        <a:xfrm>
          <a:off x="8129077" y="3563572"/>
          <a:ext cx="7505" cy="66847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133026</xdr:colOff>
      <xdr:row>12</xdr:row>
      <xdr:rowOff>119294</xdr:rowOff>
    </xdr:from>
    <xdr:to>
      <xdr:col>22</xdr:col>
      <xdr:colOff>231006</xdr:colOff>
      <xdr:row>14</xdr:row>
      <xdr:rowOff>21672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E0443325-2DDB-B6AB-14DE-04DF66609704}"/>
            </a:ext>
          </a:extLst>
        </xdr:cNvPr>
        <xdr:cNvSpPr/>
      </xdr:nvSpPr>
      <xdr:spPr>
        <a:xfrm>
          <a:off x="8965299" y="3178839"/>
          <a:ext cx="455889" cy="38728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8582</xdr:colOff>
      <xdr:row>14</xdr:row>
      <xdr:rowOff>21672</xdr:rowOff>
    </xdr:from>
    <xdr:to>
      <xdr:col>22</xdr:col>
      <xdr:colOff>3062</xdr:colOff>
      <xdr:row>16</xdr:row>
      <xdr:rowOff>202686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BEAC3926-A8FD-BDE5-602E-BC0A384FC01C}"/>
            </a:ext>
          </a:extLst>
        </xdr:cNvPr>
        <xdr:cNvCxnSpPr>
          <a:cxnSpLocks/>
          <a:stCxn id="65" idx="4"/>
          <a:endCxn id="68" idx="0"/>
        </xdr:cNvCxnSpPr>
      </xdr:nvCxnSpPr>
      <xdr:spPr>
        <a:xfrm flipH="1">
          <a:off x="8136582" y="3566127"/>
          <a:ext cx="1056662" cy="6659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230211</xdr:colOff>
      <xdr:row>10</xdr:row>
      <xdr:rowOff>271421</xdr:rowOff>
    </xdr:from>
    <xdr:to>
      <xdr:col>23</xdr:col>
      <xdr:colOff>61761</xdr:colOff>
      <xdr:row>12</xdr:row>
      <xdr:rowOff>183009</xdr:rowOff>
    </xdr:to>
    <xdr:sp macro="" textlink="">
      <xdr:nvSpPr>
        <xdr:cNvPr id="67" name="TextBox 36">
          <a:extLst>
            <a:ext uri="{FF2B5EF4-FFF2-40B4-BE49-F238E27FC236}">
              <a16:creationId xmlns:a16="http://schemas.microsoft.com/office/drawing/2014/main" id="{09DC33A3-445D-096B-64F9-844F919101BD}"/>
            </a:ext>
          </a:extLst>
        </xdr:cNvPr>
        <xdr:cNvSpPr txBox="1"/>
      </xdr:nvSpPr>
      <xdr:spPr>
        <a:xfrm>
          <a:off x="9062484" y="2776785"/>
          <a:ext cx="535822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18</xdr:col>
      <xdr:colOff>138546</xdr:colOff>
      <xdr:row>16</xdr:row>
      <xdr:rowOff>202686</xdr:rowOff>
    </xdr:from>
    <xdr:to>
      <xdr:col>19</xdr:col>
      <xdr:colOff>236527</xdr:colOff>
      <xdr:row>18</xdr:row>
      <xdr:rowOff>105065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B630FA11-BD6F-0658-0D27-D3BF6CA71F11}"/>
            </a:ext>
          </a:extLst>
        </xdr:cNvPr>
        <xdr:cNvSpPr/>
      </xdr:nvSpPr>
      <xdr:spPr>
        <a:xfrm>
          <a:off x="7908637" y="4232050"/>
          <a:ext cx="455890" cy="387288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225964</xdr:colOff>
      <xdr:row>18</xdr:row>
      <xdr:rowOff>46292</xdr:rowOff>
    </xdr:from>
    <xdr:to>
      <xdr:col>20</xdr:col>
      <xdr:colOff>17497</xdr:colOff>
      <xdr:row>20</xdr:row>
      <xdr:rowOff>15607</xdr:rowOff>
    </xdr:to>
    <xdr:sp macro="" textlink="">
      <xdr:nvSpPr>
        <xdr:cNvPr id="69" name="TextBox 17">
          <a:extLst>
            <a:ext uri="{FF2B5EF4-FFF2-40B4-BE49-F238E27FC236}">
              <a16:creationId xmlns:a16="http://schemas.microsoft.com/office/drawing/2014/main" id="{598C5596-4EE6-1CA1-A324-0611BA774AEF}"/>
            </a:ext>
          </a:extLst>
        </xdr:cNvPr>
        <xdr:cNvSpPr txBox="1"/>
      </xdr:nvSpPr>
      <xdr:spPr>
        <a:xfrm>
          <a:off x="7996055" y="4560565"/>
          <a:ext cx="495806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21</xdr:col>
      <xdr:colOff>138545</xdr:colOff>
      <xdr:row>16</xdr:row>
      <xdr:rowOff>202688</xdr:rowOff>
    </xdr:from>
    <xdr:to>
      <xdr:col>22</xdr:col>
      <xdr:colOff>233593</xdr:colOff>
      <xdr:row>18</xdr:row>
      <xdr:rowOff>105067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A3995FA-EE86-FF90-208D-77AC9B48EBA2}"/>
            </a:ext>
          </a:extLst>
        </xdr:cNvPr>
        <xdr:cNvSpPr/>
      </xdr:nvSpPr>
      <xdr:spPr>
        <a:xfrm>
          <a:off x="8970818" y="4232052"/>
          <a:ext cx="452957" cy="387288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21</xdr:col>
      <xdr:colOff>243103</xdr:colOff>
      <xdr:row>18</xdr:row>
      <xdr:rowOff>57837</xdr:rowOff>
    </xdr:from>
    <xdr:to>
      <xdr:col>23</xdr:col>
      <xdr:colOff>34636</xdr:colOff>
      <xdr:row>20</xdr:row>
      <xdr:rowOff>27152</xdr:rowOff>
    </xdr:to>
    <xdr:sp macro="" textlink="">
      <xdr:nvSpPr>
        <xdr:cNvPr id="71" name="TextBox 22">
          <a:extLst>
            <a:ext uri="{FF2B5EF4-FFF2-40B4-BE49-F238E27FC236}">
              <a16:creationId xmlns:a16="http://schemas.microsoft.com/office/drawing/2014/main" id="{02135880-A6A1-7847-F077-69169A720F64}"/>
            </a:ext>
          </a:extLst>
        </xdr:cNvPr>
        <xdr:cNvSpPr txBox="1"/>
      </xdr:nvSpPr>
      <xdr:spPr>
        <a:xfrm>
          <a:off x="9075376" y="4572110"/>
          <a:ext cx="495805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22</xdr:col>
      <xdr:colOff>3062</xdr:colOff>
      <xdr:row>14</xdr:row>
      <xdr:rowOff>21672</xdr:rowOff>
    </xdr:from>
    <xdr:to>
      <xdr:col>22</xdr:col>
      <xdr:colOff>7115</xdr:colOff>
      <xdr:row>16</xdr:row>
      <xdr:rowOff>202688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B7D78FC0-85CA-D866-4C63-64049E11712E}"/>
            </a:ext>
          </a:extLst>
        </xdr:cNvPr>
        <xdr:cNvCxnSpPr>
          <a:cxnSpLocks/>
          <a:stCxn id="65" idx="4"/>
          <a:endCxn id="70" idx="0"/>
        </xdr:cNvCxnSpPr>
      </xdr:nvCxnSpPr>
      <xdr:spPr>
        <a:xfrm>
          <a:off x="9193244" y="3566127"/>
          <a:ext cx="4053" cy="6659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1077</xdr:colOff>
      <xdr:row>14</xdr:row>
      <xdr:rowOff>19117</xdr:rowOff>
    </xdr:from>
    <xdr:to>
      <xdr:col>22</xdr:col>
      <xdr:colOff>7115</xdr:colOff>
      <xdr:row>16</xdr:row>
      <xdr:rowOff>202688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F994D0C-8C9D-0770-CD32-565B870587D4}"/>
            </a:ext>
          </a:extLst>
        </xdr:cNvPr>
        <xdr:cNvCxnSpPr>
          <a:cxnSpLocks/>
          <a:stCxn id="62" idx="4"/>
          <a:endCxn id="70" idx="0"/>
        </xdr:cNvCxnSpPr>
      </xdr:nvCxnSpPr>
      <xdr:spPr>
        <a:xfrm>
          <a:off x="8129077" y="3563572"/>
          <a:ext cx="1068220" cy="6684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131041</xdr:colOff>
      <xdr:row>12</xdr:row>
      <xdr:rowOff>116739</xdr:rowOff>
    </xdr:from>
    <xdr:to>
      <xdr:col>27</xdr:col>
      <xdr:colOff>229022</xdr:colOff>
      <xdr:row>14</xdr:row>
      <xdr:rowOff>19117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8C4D43B2-D4FA-894E-BD74-C181BBF2DB09}"/>
            </a:ext>
          </a:extLst>
        </xdr:cNvPr>
        <xdr:cNvSpPr/>
      </xdr:nvSpPr>
      <xdr:spPr>
        <a:xfrm>
          <a:off x="7901132" y="3176284"/>
          <a:ext cx="455890" cy="38728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26</xdr:col>
      <xdr:colOff>229298</xdr:colOff>
      <xdr:row>11</xdr:row>
      <xdr:rowOff>0</xdr:rowOff>
    </xdr:from>
    <xdr:to>
      <xdr:col>28</xdr:col>
      <xdr:colOff>60848</xdr:colOff>
      <xdr:row>12</xdr:row>
      <xdr:rowOff>188679</xdr:rowOff>
    </xdr:to>
    <xdr:sp macro="" textlink="">
      <xdr:nvSpPr>
        <xdr:cNvPr id="105" name="TextBox 10">
          <a:extLst>
            <a:ext uri="{FF2B5EF4-FFF2-40B4-BE49-F238E27FC236}">
              <a16:creationId xmlns:a16="http://schemas.microsoft.com/office/drawing/2014/main" id="{34A0FF1F-87C8-7C44-8E9E-D9FDF35167D7}"/>
            </a:ext>
          </a:extLst>
        </xdr:cNvPr>
        <xdr:cNvSpPr txBox="1"/>
      </xdr:nvSpPr>
      <xdr:spPr>
        <a:xfrm>
          <a:off x="7999389" y="2782455"/>
          <a:ext cx="53582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27</xdr:col>
      <xdr:colOff>1077</xdr:colOff>
      <xdr:row>14</xdr:row>
      <xdr:rowOff>19117</xdr:rowOff>
    </xdr:from>
    <xdr:to>
      <xdr:col>27</xdr:col>
      <xdr:colOff>8582</xdr:colOff>
      <xdr:row>16</xdr:row>
      <xdr:rowOff>202686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40651A84-678C-D042-B4BD-EA7F0C85198A}"/>
            </a:ext>
          </a:extLst>
        </xdr:cNvPr>
        <xdr:cNvCxnSpPr>
          <a:cxnSpLocks/>
          <a:stCxn id="104" idx="4"/>
          <a:endCxn id="110" idx="0"/>
        </xdr:cNvCxnSpPr>
      </xdr:nvCxnSpPr>
      <xdr:spPr>
        <a:xfrm>
          <a:off x="8129077" y="3563572"/>
          <a:ext cx="7505" cy="66847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133026</xdr:colOff>
      <xdr:row>12</xdr:row>
      <xdr:rowOff>119294</xdr:rowOff>
    </xdr:from>
    <xdr:to>
      <xdr:col>30</xdr:col>
      <xdr:colOff>231006</xdr:colOff>
      <xdr:row>14</xdr:row>
      <xdr:rowOff>21672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1439A735-A181-1644-BB3B-1F4300703D93}"/>
            </a:ext>
          </a:extLst>
        </xdr:cNvPr>
        <xdr:cNvSpPr/>
      </xdr:nvSpPr>
      <xdr:spPr>
        <a:xfrm>
          <a:off x="8965299" y="3178839"/>
          <a:ext cx="455889" cy="38728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27</xdr:col>
      <xdr:colOff>8582</xdr:colOff>
      <xdr:row>14</xdr:row>
      <xdr:rowOff>21672</xdr:rowOff>
    </xdr:from>
    <xdr:to>
      <xdr:col>30</xdr:col>
      <xdr:colOff>3062</xdr:colOff>
      <xdr:row>16</xdr:row>
      <xdr:rowOff>202686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9A6FD28F-FA48-C24B-B24C-F5CE82F2AAF3}"/>
            </a:ext>
          </a:extLst>
        </xdr:cNvPr>
        <xdr:cNvCxnSpPr>
          <a:cxnSpLocks/>
          <a:stCxn id="107" idx="4"/>
          <a:endCxn id="110" idx="0"/>
        </xdr:cNvCxnSpPr>
      </xdr:nvCxnSpPr>
      <xdr:spPr>
        <a:xfrm flipH="1">
          <a:off x="8136582" y="3566127"/>
          <a:ext cx="1056662" cy="6659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230211</xdr:colOff>
      <xdr:row>10</xdr:row>
      <xdr:rowOff>271421</xdr:rowOff>
    </xdr:from>
    <xdr:to>
      <xdr:col>31</xdr:col>
      <xdr:colOff>61761</xdr:colOff>
      <xdr:row>12</xdr:row>
      <xdr:rowOff>183009</xdr:rowOff>
    </xdr:to>
    <xdr:sp macro="" textlink="">
      <xdr:nvSpPr>
        <xdr:cNvPr id="109" name="TextBox 36">
          <a:extLst>
            <a:ext uri="{FF2B5EF4-FFF2-40B4-BE49-F238E27FC236}">
              <a16:creationId xmlns:a16="http://schemas.microsoft.com/office/drawing/2014/main" id="{E4B2B52B-4FF5-8D46-8420-0E9965A5D53B}"/>
            </a:ext>
          </a:extLst>
        </xdr:cNvPr>
        <xdr:cNvSpPr txBox="1"/>
      </xdr:nvSpPr>
      <xdr:spPr>
        <a:xfrm>
          <a:off x="9062484" y="2776785"/>
          <a:ext cx="535822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26</xdr:col>
      <xdr:colOff>138546</xdr:colOff>
      <xdr:row>16</xdr:row>
      <xdr:rowOff>202686</xdr:rowOff>
    </xdr:from>
    <xdr:to>
      <xdr:col>27</xdr:col>
      <xdr:colOff>236527</xdr:colOff>
      <xdr:row>18</xdr:row>
      <xdr:rowOff>105065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FE70FDE2-C230-9E4A-8348-38F578080E4B}"/>
            </a:ext>
          </a:extLst>
        </xdr:cNvPr>
        <xdr:cNvSpPr/>
      </xdr:nvSpPr>
      <xdr:spPr>
        <a:xfrm>
          <a:off x="7908637" y="4232050"/>
          <a:ext cx="455890" cy="387288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26</xdr:col>
      <xdr:colOff>225964</xdr:colOff>
      <xdr:row>18</xdr:row>
      <xdr:rowOff>46292</xdr:rowOff>
    </xdr:from>
    <xdr:to>
      <xdr:col>28</xdr:col>
      <xdr:colOff>17497</xdr:colOff>
      <xdr:row>20</xdr:row>
      <xdr:rowOff>15607</xdr:rowOff>
    </xdr:to>
    <xdr:sp macro="" textlink="">
      <xdr:nvSpPr>
        <xdr:cNvPr id="111" name="TextBox 17">
          <a:extLst>
            <a:ext uri="{FF2B5EF4-FFF2-40B4-BE49-F238E27FC236}">
              <a16:creationId xmlns:a16="http://schemas.microsoft.com/office/drawing/2014/main" id="{AFD03E98-28F0-A640-B123-6CB0EDDFDF92}"/>
            </a:ext>
          </a:extLst>
        </xdr:cNvPr>
        <xdr:cNvSpPr txBox="1"/>
      </xdr:nvSpPr>
      <xdr:spPr>
        <a:xfrm>
          <a:off x="7996055" y="4560565"/>
          <a:ext cx="495806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29</xdr:col>
      <xdr:colOff>138545</xdr:colOff>
      <xdr:row>16</xdr:row>
      <xdr:rowOff>202688</xdr:rowOff>
    </xdr:from>
    <xdr:to>
      <xdr:col>30</xdr:col>
      <xdr:colOff>233593</xdr:colOff>
      <xdr:row>18</xdr:row>
      <xdr:rowOff>105067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20988584-19EF-234F-AAEF-F39FDB874C09}"/>
            </a:ext>
          </a:extLst>
        </xdr:cNvPr>
        <xdr:cNvSpPr/>
      </xdr:nvSpPr>
      <xdr:spPr>
        <a:xfrm>
          <a:off x="8970818" y="4232052"/>
          <a:ext cx="452957" cy="387288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243103</xdr:colOff>
      <xdr:row>18</xdr:row>
      <xdr:rowOff>57837</xdr:rowOff>
    </xdr:from>
    <xdr:to>
      <xdr:col>31</xdr:col>
      <xdr:colOff>34636</xdr:colOff>
      <xdr:row>20</xdr:row>
      <xdr:rowOff>27152</xdr:rowOff>
    </xdr:to>
    <xdr:sp macro="" textlink="">
      <xdr:nvSpPr>
        <xdr:cNvPr id="113" name="TextBox 22">
          <a:extLst>
            <a:ext uri="{FF2B5EF4-FFF2-40B4-BE49-F238E27FC236}">
              <a16:creationId xmlns:a16="http://schemas.microsoft.com/office/drawing/2014/main" id="{8FDE5F5C-4591-314F-9661-3FDCB83D8CF7}"/>
            </a:ext>
          </a:extLst>
        </xdr:cNvPr>
        <xdr:cNvSpPr txBox="1"/>
      </xdr:nvSpPr>
      <xdr:spPr>
        <a:xfrm>
          <a:off x="9075376" y="4572110"/>
          <a:ext cx="495805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30</xdr:col>
      <xdr:colOff>3062</xdr:colOff>
      <xdr:row>14</xdr:row>
      <xdr:rowOff>21672</xdr:rowOff>
    </xdr:from>
    <xdr:to>
      <xdr:col>30</xdr:col>
      <xdr:colOff>7115</xdr:colOff>
      <xdr:row>16</xdr:row>
      <xdr:rowOff>202688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1AA8DB0F-70F5-094D-8DA6-467B2EBD72D9}"/>
            </a:ext>
          </a:extLst>
        </xdr:cNvPr>
        <xdr:cNvCxnSpPr>
          <a:cxnSpLocks/>
          <a:stCxn id="107" idx="4"/>
          <a:endCxn id="112" idx="0"/>
        </xdr:cNvCxnSpPr>
      </xdr:nvCxnSpPr>
      <xdr:spPr>
        <a:xfrm>
          <a:off x="9193244" y="3566127"/>
          <a:ext cx="4053" cy="6659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1077</xdr:colOff>
      <xdr:row>14</xdr:row>
      <xdr:rowOff>19117</xdr:rowOff>
    </xdr:from>
    <xdr:to>
      <xdr:col>30</xdr:col>
      <xdr:colOff>7115</xdr:colOff>
      <xdr:row>16</xdr:row>
      <xdr:rowOff>202688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A225C479-8A1F-FD44-B3BB-40F983E0B94B}"/>
            </a:ext>
          </a:extLst>
        </xdr:cNvPr>
        <xdr:cNvCxnSpPr>
          <a:cxnSpLocks/>
          <a:stCxn id="104" idx="4"/>
          <a:endCxn id="112" idx="0"/>
        </xdr:cNvCxnSpPr>
      </xdr:nvCxnSpPr>
      <xdr:spPr>
        <a:xfrm>
          <a:off x="8129077" y="3563572"/>
          <a:ext cx="1068220" cy="6684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230211</xdr:colOff>
      <xdr:row>11</xdr:row>
      <xdr:rowOff>271421</xdr:rowOff>
    </xdr:from>
    <xdr:to>
      <xdr:col>39</xdr:col>
      <xdr:colOff>61761</xdr:colOff>
      <xdr:row>13</xdr:row>
      <xdr:rowOff>217645</xdr:rowOff>
    </xdr:to>
    <xdr:sp macro="" textlink="">
      <xdr:nvSpPr>
        <xdr:cNvPr id="121" name="TextBox 36">
          <a:extLst>
            <a:ext uri="{FF2B5EF4-FFF2-40B4-BE49-F238E27FC236}">
              <a16:creationId xmlns:a16="http://schemas.microsoft.com/office/drawing/2014/main" id="{2BCA12DB-39B8-BA42-A64C-981A6A6DF19C}"/>
            </a:ext>
          </a:extLst>
        </xdr:cNvPr>
        <xdr:cNvSpPr txBox="1"/>
      </xdr:nvSpPr>
      <xdr:spPr>
        <a:xfrm>
          <a:off x="15562575" y="3065421"/>
          <a:ext cx="55891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34</xdr:col>
      <xdr:colOff>253450</xdr:colOff>
      <xdr:row>13</xdr:row>
      <xdr:rowOff>30045</xdr:rowOff>
    </xdr:from>
    <xdr:to>
      <xdr:col>35</xdr:col>
      <xdr:colOff>300147</xdr:colOff>
      <xdr:row>14</xdr:row>
      <xdr:rowOff>193146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14523632" y="3343590"/>
          <a:ext cx="404606" cy="40555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33</xdr:col>
      <xdr:colOff>193085</xdr:colOff>
      <xdr:row>17</xdr:row>
      <xdr:rowOff>92902</xdr:rowOff>
    </xdr:from>
    <xdr:to>
      <xdr:col>34</xdr:col>
      <xdr:colOff>216691</xdr:colOff>
      <xdr:row>19</xdr:row>
      <xdr:rowOff>2004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7BE23AD9-416E-9170-F359-AFE463B72251}"/>
            </a:ext>
          </a:extLst>
        </xdr:cNvPr>
        <xdr:cNvSpPr/>
      </xdr:nvSpPr>
      <xdr:spPr>
        <a:xfrm>
          <a:off x="14082267" y="4376266"/>
          <a:ext cx="404606" cy="405556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14388</xdr:colOff>
      <xdr:row>14</xdr:row>
      <xdr:rowOff>193146</xdr:rowOff>
    </xdr:from>
    <xdr:to>
      <xdr:col>35</xdr:col>
      <xdr:colOff>97844</xdr:colOff>
      <xdr:row>17</xdr:row>
      <xdr:rowOff>92902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F431EE80-A4C1-AF81-AF56-3EECEE681698}"/>
            </a:ext>
          </a:extLst>
        </xdr:cNvPr>
        <xdr:cNvCxnSpPr>
          <a:cxnSpLocks/>
          <a:stCxn id="128" idx="4"/>
          <a:endCxn id="129" idx="0"/>
        </xdr:cNvCxnSpPr>
      </xdr:nvCxnSpPr>
      <xdr:spPr>
        <a:xfrm flipH="1">
          <a:off x="14284570" y="3749146"/>
          <a:ext cx="441365" cy="62712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265545</xdr:colOff>
      <xdr:row>18</xdr:row>
      <xdr:rowOff>248235</xdr:rowOff>
    </xdr:from>
    <xdr:to>
      <xdr:col>34</xdr:col>
      <xdr:colOff>323702</xdr:colOff>
      <xdr:row>20</xdr:row>
      <xdr:rowOff>206004</xdr:rowOff>
    </xdr:to>
    <xdr:sp macro="" textlink="">
      <xdr:nvSpPr>
        <xdr:cNvPr id="131" name="TextBox 13">
          <a:extLst>
            <a:ext uri="{FF2B5EF4-FFF2-40B4-BE49-F238E27FC236}">
              <a16:creationId xmlns:a16="http://schemas.microsoft.com/office/drawing/2014/main" id="{5570AC2B-2026-3406-22A1-64D07ABDDA6E}"/>
            </a:ext>
          </a:extLst>
        </xdr:cNvPr>
        <xdr:cNvSpPr txBox="1"/>
      </xdr:nvSpPr>
      <xdr:spPr>
        <a:xfrm>
          <a:off x="14154727" y="4774053"/>
          <a:ext cx="43915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35</xdr:col>
      <xdr:colOff>332865</xdr:colOff>
      <xdr:row>17</xdr:row>
      <xdr:rowOff>92902</xdr:rowOff>
    </xdr:from>
    <xdr:to>
      <xdr:col>37</xdr:col>
      <xdr:colOff>33198</xdr:colOff>
      <xdr:row>19</xdr:row>
      <xdr:rowOff>2004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631D18F5-FF21-FE6B-83D1-BF3EA89CC33A}"/>
            </a:ext>
          </a:extLst>
        </xdr:cNvPr>
        <xdr:cNvSpPr/>
      </xdr:nvSpPr>
      <xdr:spPr>
        <a:xfrm>
          <a:off x="14960956" y="4376266"/>
          <a:ext cx="404606" cy="405556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35</xdr:col>
      <xdr:colOff>97844</xdr:colOff>
      <xdr:row>14</xdr:row>
      <xdr:rowOff>193146</xdr:rowOff>
    </xdr:from>
    <xdr:to>
      <xdr:col>36</xdr:col>
      <xdr:colOff>177259</xdr:colOff>
      <xdr:row>17</xdr:row>
      <xdr:rowOff>92902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128" idx="4"/>
          <a:endCxn id="132" idx="0"/>
        </xdr:cNvCxnSpPr>
      </xdr:nvCxnSpPr>
      <xdr:spPr>
        <a:xfrm>
          <a:off x="14725935" y="3749146"/>
          <a:ext cx="437324" cy="62712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28685</xdr:colOff>
      <xdr:row>18</xdr:row>
      <xdr:rowOff>248236</xdr:rowOff>
    </xdr:from>
    <xdr:to>
      <xdr:col>37</xdr:col>
      <xdr:colOff>121478</xdr:colOff>
      <xdr:row>20</xdr:row>
      <xdr:rowOff>206005</xdr:rowOff>
    </xdr:to>
    <xdr:sp macro="" textlink="">
      <xdr:nvSpPr>
        <xdr:cNvPr id="134" name="TextBox 24">
          <a:extLst>
            <a:ext uri="{FF2B5EF4-FFF2-40B4-BE49-F238E27FC236}">
              <a16:creationId xmlns:a16="http://schemas.microsoft.com/office/drawing/2014/main" id="{FF1ED835-5BB4-8ECC-E3DD-C3D3DAE4C1E1}"/>
            </a:ext>
          </a:extLst>
        </xdr:cNvPr>
        <xdr:cNvSpPr txBox="1"/>
      </xdr:nvSpPr>
      <xdr:spPr>
        <a:xfrm>
          <a:off x="15014685" y="4774054"/>
          <a:ext cx="43915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38</xdr:col>
      <xdr:colOff>150122</xdr:colOff>
      <xdr:row>17</xdr:row>
      <xdr:rowOff>104448</xdr:rowOff>
    </xdr:from>
    <xdr:to>
      <xdr:col>39</xdr:col>
      <xdr:colOff>185274</xdr:colOff>
      <xdr:row>19</xdr:row>
      <xdr:rowOff>13550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3F52F050-18BD-68BA-08DC-7AE56C8012AA}"/>
            </a:ext>
          </a:extLst>
        </xdr:cNvPr>
        <xdr:cNvSpPr/>
      </xdr:nvSpPr>
      <xdr:spPr>
        <a:xfrm>
          <a:off x="15840395" y="4387812"/>
          <a:ext cx="404606" cy="405556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38</xdr:col>
      <xdr:colOff>207388</xdr:colOff>
      <xdr:row>19</xdr:row>
      <xdr:rowOff>17327</xdr:rowOff>
    </xdr:from>
    <xdr:to>
      <xdr:col>39</xdr:col>
      <xdr:colOff>277091</xdr:colOff>
      <xdr:row>21</xdr:row>
      <xdr:rowOff>9732</xdr:rowOff>
    </xdr:to>
    <xdr:sp macro="" textlink="">
      <xdr:nvSpPr>
        <xdr:cNvPr id="136" name="TextBox 22">
          <a:extLst>
            <a:ext uri="{FF2B5EF4-FFF2-40B4-BE49-F238E27FC236}">
              <a16:creationId xmlns:a16="http://schemas.microsoft.com/office/drawing/2014/main" id="{33ECC1AF-1510-A9D9-1320-5A8AF54832D6}"/>
            </a:ext>
          </a:extLst>
        </xdr:cNvPr>
        <xdr:cNvSpPr txBox="1"/>
      </xdr:nvSpPr>
      <xdr:spPr>
        <a:xfrm>
          <a:off x="15897661" y="4797145"/>
          <a:ext cx="43915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35</xdr:col>
      <xdr:colOff>97844</xdr:colOff>
      <xdr:row>14</xdr:row>
      <xdr:rowOff>193146</xdr:rowOff>
    </xdr:from>
    <xdr:to>
      <xdr:col>38</xdr:col>
      <xdr:colOff>352425</xdr:colOff>
      <xdr:row>17</xdr:row>
      <xdr:rowOff>104448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8837BD97-C652-719A-175F-D2DDFF59F578}"/>
            </a:ext>
          </a:extLst>
        </xdr:cNvPr>
        <xdr:cNvCxnSpPr>
          <a:cxnSpLocks/>
          <a:stCxn id="128" idx="4"/>
          <a:endCxn id="135" idx="0"/>
        </xdr:cNvCxnSpPr>
      </xdr:nvCxnSpPr>
      <xdr:spPr>
        <a:xfrm>
          <a:off x="14725935" y="3749146"/>
          <a:ext cx="1316763" cy="63866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139980</xdr:colOff>
      <xdr:row>13</xdr:row>
      <xdr:rowOff>55690</xdr:rowOff>
    </xdr:from>
    <xdr:to>
      <xdr:col>38</xdr:col>
      <xdr:colOff>186677</xdr:colOff>
      <xdr:row>14</xdr:row>
      <xdr:rowOff>218791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E0443325-2DDB-B6AB-14DE-04DF66609704}"/>
            </a:ext>
          </a:extLst>
        </xdr:cNvPr>
        <xdr:cNvSpPr/>
      </xdr:nvSpPr>
      <xdr:spPr>
        <a:xfrm>
          <a:off x="15472344" y="3369235"/>
          <a:ext cx="404606" cy="40555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14388</xdr:colOff>
      <xdr:row>14</xdr:row>
      <xdr:rowOff>218791</xdr:rowOff>
    </xdr:from>
    <xdr:to>
      <xdr:col>37</xdr:col>
      <xdr:colOff>342283</xdr:colOff>
      <xdr:row>17</xdr:row>
      <xdr:rowOff>92902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2A86A7B5-5FC1-B1FF-7611-C7EE665F8530}"/>
            </a:ext>
          </a:extLst>
        </xdr:cNvPr>
        <xdr:cNvCxnSpPr>
          <a:cxnSpLocks/>
          <a:stCxn id="138" idx="4"/>
          <a:endCxn id="129" idx="0"/>
        </xdr:cNvCxnSpPr>
      </xdr:nvCxnSpPr>
      <xdr:spPr>
        <a:xfrm flipH="1">
          <a:off x="14284570" y="3774791"/>
          <a:ext cx="1390077" cy="6014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177259</xdr:colOff>
      <xdr:row>14</xdr:row>
      <xdr:rowOff>218791</xdr:rowOff>
    </xdr:from>
    <xdr:to>
      <xdr:col>37</xdr:col>
      <xdr:colOff>342283</xdr:colOff>
      <xdr:row>17</xdr:row>
      <xdr:rowOff>92902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BEAC3926-A8FD-BDE5-602E-BC0A384FC01C}"/>
            </a:ext>
          </a:extLst>
        </xdr:cNvPr>
        <xdr:cNvCxnSpPr>
          <a:cxnSpLocks/>
          <a:stCxn id="138" idx="4"/>
          <a:endCxn id="132" idx="0"/>
        </xdr:cNvCxnSpPr>
      </xdr:nvCxnSpPr>
      <xdr:spPr>
        <a:xfrm flipH="1">
          <a:off x="15163259" y="3774791"/>
          <a:ext cx="511388" cy="6014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342283</xdr:colOff>
      <xdr:row>14</xdr:row>
      <xdr:rowOff>218791</xdr:rowOff>
    </xdr:from>
    <xdr:to>
      <xdr:col>38</xdr:col>
      <xdr:colOff>352425</xdr:colOff>
      <xdr:row>17</xdr:row>
      <xdr:rowOff>104448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34AE5B99-579B-40C8-BE97-C4109722FB68}"/>
            </a:ext>
          </a:extLst>
        </xdr:cNvPr>
        <xdr:cNvCxnSpPr>
          <a:cxnSpLocks/>
          <a:stCxn id="138" idx="4"/>
          <a:endCxn id="135" idx="0"/>
        </xdr:cNvCxnSpPr>
      </xdr:nvCxnSpPr>
      <xdr:spPr>
        <a:xfrm>
          <a:off x="15674647" y="3774791"/>
          <a:ext cx="368051" cy="61302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214073</xdr:colOff>
      <xdr:row>11</xdr:row>
      <xdr:rowOff>184727</xdr:rowOff>
    </xdr:from>
    <xdr:to>
      <xdr:col>38</xdr:col>
      <xdr:colOff>329959</xdr:colOff>
      <xdr:row>13</xdr:row>
      <xdr:rowOff>130951</xdr:rowOff>
    </xdr:to>
    <xdr:sp macro="" textlink="">
      <xdr:nvSpPr>
        <xdr:cNvPr id="142" name="TextBox 36">
          <a:extLst>
            <a:ext uri="{FF2B5EF4-FFF2-40B4-BE49-F238E27FC236}">
              <a16:creationId xmlns:a16="http://schemas.microsoft.com/office/drawing/2014/main" id="{09DC33A3-445D-096B-64F9-844F919101BD}"/>
            </a:ext>
          </a:extLst>
        </xdr:cNvPr>
        <xdr:cNvSpPr txBox="1"/>
      </xdr:nvSpPr>
      <xdr:spPr>
        <a:xfrm>
          <a:off x="15546437" y="2978727"/>
          <a:ext cx="473795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34</xdr:col>
      <xdr:colOff>311728</xdr:colOff>
      <xdr:row>11</xdr:row>
      <xdr:rowOff>184727</xdr:rowOff>
    </xdr:from>
    <xdr:to>
      <xdr:col>36</xdr:col>
      <xdr:colOff>131733</xdr:colOff>
      <xdr:row>13</xdr:row>
      <xdr:rowOff>130952</xdr:rowOff>
    </xdr:to>
    <xdr:sp macro="" textlink="">
      <xdr:nvSpPr>
        <xdr:cNvPr id="143" name="TextBox 10">
          <a:extLst>
            <a:ext uri="{FF2B5EF4-FFF2-40B4-BE49-F238E27FC236}">
              <a16:creationId xmlns:a16="http://schemas.microsoft.com/office/drawing/2014/main" id="{BCFA86B6-DDB7-184D-8522-8641F6084315}"/>
            </a:ext>
          </a:extLst>
        </xdr:cNvPr>
        <xdr:cNvSpPr txBox="1"/>
      </xdr:nvSpPr>
      <xdr:spPr>
        <a:xfrm>
          <a:off x="14581910" y="2978727"/>
          <a:ext cx="535823" cy="4657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230211</xdr:colOff>
      <xdr:row>11</xdr:row>
      <xdr:rowOff>271421</xdr:rowOff>
    </xdr:from>
    <xdr:to>
      <xdr:col>7</xdr:col>
      <xdr:colOff>61761</xdr:colOff>
      <xdr:row>13</xdr:row>
      <xdr:rowOff>217645</xdr:rowOff>
    </xdr:to>
    <xdr:sp macro="" textlink="">
      <xdr:nvSpPr>
        <xdr:cNvPr id="2" name="TextBox 36">
          <a:extLst>
            <a:ext uri="{FF2B5EF4-FFF2-40B4-BE49-F238E27FC236}">
              <a16:creationId xmlns:a16="http://schemas.microsoft.com/office/drawing/2014/main" id="{D2F2BAB9-6611-D14F-90B9-8E48573D280C}"/>
            </a:ext>
          </a:extLst>
        </xdr:cNvPr>
        <xdr:cNvSpPr txBox="1"/>
      </xdr:nvSpPr>
      <xdr:spPr>
        <a:xfrm>
          <a:off x="15470211" y="3065421"/>
          <a:ext cx="555450" cy="46692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</xdr:col>
      <xdr:colOff>253450</xdr:colOff>
      <xdr:row>13</xdr:row>
      <xdr:rowOff>30045</xdr:rowOff>
    </xdr:from>
    <xdr:to>
      <xdr:col>3</xdr:col>
      <xdr:colOff>300147</xdr:colOff>
      <xdr:row>14</xdr:row>
      <xdr:rowOff>193146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CE63A85-F043-DC46-9B10-4418BED2ED26}"/>
            </a:ext>
          </a:extLst>
        </xdr:cNvPr>
        <xdr:cNvSpPr/>
      </xdr:nvSpPr>
      <xdr:spPr>
        <a:xfrm>
          <a:off x="14439350" y="3344745"/>
          <a:ext cx="402297" cy="40440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193085</xdr:colOff>
      <xdr:row>17</xdr:row>
      <xdr:rowOff>92902</xdr:rowOff>
    </xdr:from>
    <xdr:to>
      <xdr:col>2</xdr:col>
      <xdr:colOff>216691</xdr:colOff>
      <xdr:row>19</xdr:row>
      <xdr:rowOff>2004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9FD4151-7441-B842-A9A8-2D56A04BD17D}"/>
            </a:ext>
          </a:extLst>
        </xdr:cNvPr>
        <xdr:cNvSpPr/>
      </xdr:nvSpPr>
      <xdr:spPr>
        <a:xfrm>
          <a:off x="13997985" y="4372802"/>
          <a:ext cx="404606" cy="4044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14388</xdr:colOff>
      <xdr:row>14</xdr:row>
      <xdr:rowOff>193146</xdr:rowOff>
    </xdr:from>
    <xdr:to>
      <xdr:col>3</xdr:col>
      <xdr:colOff>97844</xdr:colOff>
      <xdr:row>17</xdr:row>
      <xdr:rowOff>92902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E8B9FC-1B86-1D42-9DD4-DBDB87E38368}"/>
            </a:ext>
          </a:extLst>
        </xdr:cNvPr>
        <xdr:cNvCxnSpPr>
          <a:cxnSpLocks/>
          <a:stCxn id="3" idx="4"/>
          <a:endCxn id="4" idx="0"/>
        </xdr:cNvCxnSpPr>
      </xdr:nvCxnSpPr>
      <xdr:spPr>
        <a:xfrm flipH="1">
          <a:off x="14200288" y="3749146"/>
          <a:ext cx="439056" cy="6236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265545</xdr:colOff>
      <xdr:row>18</xdr:row>
      <xdr:rowOff>248235</xdr:rowOff>
    </xdr:from>
    <xdr:to>
      <xdr:col>2</xdr:col>
      <xdr:colOff>323702</xdr:colOff>
      <xdr:row>20</xdr:row>
      <xdr:rowOff>206004</xdr:rowOff>
    </xdr:to>
    <xdr:sp macro="" textlink="">
      <xdr:nvSpPr>
        <xdr:cNvPr id="6" name="TextBox 13">
          <a:extLst>
            <a:ext uri="{FF2B5EF4-FFF2-40B4-BE49-F238E27FC236}">
              <a16:creationId xmlns:a16="http://schemas.microsoft.com/office/drawing/2014/main" id="{217F9805-6AB0-3848-A4BA-17990317155C}"/>
            </a:ext>
          </a:extLst>
        </xdr:cNvPr>
        <xdr:cNvSpPr txBox="1"/>
      </xdr:nvSpPr>
      <xdr:spPr>
        <a:xfrm>
          <a:off x="14070445" y="4769435"/>
          <a:ext cx="43915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</xdr:col>
      <xdr:colOff>332865</xdr:colOff>
      <xdr:row>17</xdr:row>
      <xdr:rowOff>92902</xdr:rowOff>
    </xdr:from>
    <xdr:to>
      <xdr:col>5</xdr:col>
      <xdr:colOff>33198</xdr:colOff>
      <xdr:row>19</xdr:row>
      <xdr:rowOff>2004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D78F951-2419-0C47-8A26-B6024A119DC6}"/>
            </a:ext>
          </a:extLst>
        </xdr:cNvPr>
        <xdr:cNvSpPr/>
      </xdr:nvSpPr>
      <xdr:spPr>
        <a:xfrm>
          <a:off x="14874365" y="4372802"/>
          <a:ext cx="398833" cy="4044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97844</xdr:colOff>
      <xdr:row>14</xdr:row>
      <xdr:rowOff>193146</xdr:rowOff>
    </xdr:from>
    <xdr:to>
      <xdr:col>4</xdr:col>
      <xdr:colOff>177259</xdr:colOff>
      <xdr:row>17</xdr:row>
      <xdr:rowOff>92902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C9DE7C1-CB0F-2344-ADCB-EE161A76E399}"/>
            </a:ext>
          </a:extLst>
        </xdr:cNvPr>
        <xdr:cNvCxnSpPr>
          <a:cxnSpLocks/>
          <a:stCxn id="3" idx="4"/>
          <a:endCxn id="7" idx="0"/>
        </xdr:cNvCxnSpPr>
      </xdr:nvCxnSpPr>
      <xdr:spPr>
        <a:xfrm>
          <a:off x="14639344" y="3749146"/>
          <a:ext cx="435015" cy="6236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28685</xdr:colOff>
      <xdr:row>18</xdr:row>
      <xdr:rowOff>248236</xdr:rowOff>
    </xdr:from>
    <xdr:to>
      <xdr:col>5</xdr:col>
      <xdr:colOff>121478</xdr:colOff>
      <xdr:row>20</xdr:row>
      <xdr:rowOff>206005</xdr:rowOff>
    </xdr:to>
    <xdr:sp macro="" textlink="">
      <xdr:nvSpPr>
        <xdr:cNvPr id="9" name="TextBox 24">
          <a:extLst>
            <a:ext uri="{FF2B5EF4-FFF2-40B4-BE49-F238E27FC236}">
              <a16:creationId xmlns:a16="http://schemas.microsoft.com/office/drawing/2014/main" id="{EA77B399-02EE-EC45-B363-E95FE1F394B6}"/>
            </a:ext>
          </a:extLst>
        </xdr:cNvPr>
        <xdr:cNvSpPr txBox="1"/>
      </xdr:nvSpPr>
      <xdr:spPr>
        <a:xfrm>
          <a:off x="14925785" y="4769436"/>
          <a:ext cx="43569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6</xdr:col>
      <xdr:colOff>150122</xdr:colOff>
      <xdr:row>17</xdr:row>
      <xdr:rowOff>104448</xdr:rowOff>
    </xdr:from>
    <xdr:to>
      <xdr:col>7</xdr:col>
      <xdr:colOff>185274</xdr:colOff>
      <xdr:row>19</xdr:row>
      <xdr:rowOff>13550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7F328A3-94FA-ED46-865A-8B97C5A72933}"/>
            </a:ext>
          </a:extLst>
        </xdr:cNvPr>
        <xdr:cNvSpPr/>
      </xdr:nvSpPr>
      <xdr:spPr>
        <a:xfrm>
          <a:off x="15745722" y="4384348"/>
          <a:ext cx="403452" cy="404402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207388</xdr:colOff>
      <xdr:row>19</xdr:row>
      <xdr:rowOff>17327</xdr:rowOff>
    </xdr:from>
    <xdr:to>
      <xdr:col>7</xdr:col>
      <xdr:colOff>277091</xdr:colOff>
      <xdr:row>21</xdr:row>
      <xdr:rowOff>9732</xdr:rowOff>
    </xdr:to>
    <xdr:sp macro="" textlink="">
      <xdr:nvSpPr>
        <xdr:cNvPr id="11" name="TextBox 22">
          <a:extLst>
            <a:ext uri="{FF2B5EF4-FFF2-40B4-BE49-F238E27FC236}">
              <a16:creationId xmlns:a16="http://schemas.microsoft.com/office/drawing/2014/main" id="{BE7E427E-D67B-7A4E-BF20-F7D0C9B651ED}"/>
            </a:ext>
          </a:extLst>
        </xdr:cNvPr>
        <xdr:cNvSpPr txBox="1"/>
      </xdr:nvSpPr>
      <xdr:spPr>
        <a:xfrm>
          <a:off x="15802988" y="4792527"/>
          <a:ext cx="438003" cy="4623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3</xdr:col>
      <xdr:colOff>97844</xdr:colOff>
      <xdr:row>14</xdr:row>
      <xdr:rowOff>193146</xdr:rowOff>
    </xdr:from>
    <xdr:to>
      <xdr:col>6</xdr:col>
      <xdr:colOff>352425</xdr:colOff>
      <xdr:row>17</xdr:row>
      <xdr:rowOff>104448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FC8F922-823C-DD44-99D4-AEADD6812EFA}"/>
            </a:ext>
          </a:extLst>
        </xdr:cNvPr>
        <xdr:cNvCxnSpPr>
          <a:cxnSpLocks/>
          <a:stCxn id="3" idx="4"/>
          <a:endCxn id="10" idx="0"/>
        </xdr:cNvCxnSpPr>
      </xdr:nvCxnSpPr>
      <xdr:spPr>
        <a:xfrm>
          <a:off x="14639344" y="3749146"/>
          <a:ext cx="1308681" cy="63520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139980</xdr:colOff>
      <xdr:row>13</xdr:row>
      <xdr:rowOff>55690</xdr:rowOff>
    </xdr:from>
    <xdr:to>
      <xdr:col>6</xdr:col>
      <xdr:colOff>186677</xdr:colOff>
      <xdr:row>14</xdr:row>
      <xdr:rowOff>218791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97889D6-2AD9-8B4F-9E4F-D601E2B7C865}"/>
            </a:ext>
          </a:extLst>
        </xdr:cNvPr>
        <xdr:cNvSpPr/>
      </xdr:nvSpPr>
      <xdr:spPr>
        <a:xfrm>
          <a:off x="15379980" y="3370390"/>
          <a:ext cx="402297" cy="40440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14388</xdr:colOff>
      <xdr:row>14</xdr:row>
      <xdr:rowOff>218791</xdr:rowOff>
    </xdr:from>
    <xdr:to>
      <xdr:col>5</xdr:col>
      <xdr:colOff>342283</xdr:colOff>
      <xdr:row>17</xdr:row>
      <xdr:rowOff>92902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198285C-4C46-2244-ADE1-B47AD18CCCD1}"/>
            </a:ext>
          </a:extLst>
        </xdr:cNvPr>
        <xdr:cNvCxnSpPr>
          <a:cxnSpLocks/>
          <a:stCxn id="13" idx="4"/>
          <a:endCxn id="4" idx="0"/>
        </xdr:cNvCxnSpPr>
      </xdr:nvCxnSpPr>
      <xdr:spPr>
        <a:xfrm flipH="1">
          <a:off x="14200288" y="3774791"/>
          <a:ext cx="1381995" cy="5980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177259</xdr:colOff>
      <xdr:row>14</xdr:row>
      <xdr:rowOff>218791</xdr:rowOff>
    </xdr:from>
    <xdr:to>
      <xdr:col>5</xdr:col>
      <xdr:colOff>342283</xdr:colOff>
      <xdr:row>17</xdr:row>
      <xdr:rowOff>92902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DE3335F-E97D-464C-8F01-75520D564271}"/>
            </a:ext>
          </a:extLst>
        </xdr:cNvPr>
        <xdr:cNvCxnSpPr>
          <a:cxnSpLocks/>
          <a:stCxn id="13" idx="4"/>
          <a:endCxn id="7" idx="0"/>
        </xdr:cNvCxnSpPr>
      </xdr:nvCxnSpPr>
      <xdr:spPr>
        <a:xfrm flipH="1">
          <a:off x="15074359" y="3774791"/>
          <a:ext cx="507924" cy="5980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342283</xdr:colOff>
      <xdr:row>14</xdr:row>
      <xdr:rowOff>218791</xdr:rowOff>
    </xdr:from>
    <xdr:to>
      <xdr:col>6</xdr:col>
      <xdr:colOff>352425</xdr:colOff>
      <xdr:row>17</xdr:row>
      <xdr:rowOff>104448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18E218A-4768-1D41-A311-F063BD3549F6}"/>
            </a:ext>
          </a:extLst>
        </xdr:cNvPr>
        <xdr:cNvCxnSpPr>
          <a:cxnSpLocks/>
          <a:stCxn id="13" idx="4"/>
          <a:endCxn id="10" idx="0"/>
        </xdr:cNvCxnSpPr>
      </xdr:nvCxnSpPr>
      <xdr:spPr>
        <a:xfrm>
          <a:off x="15582283" y="3774791"/>
          <a:ext cx="365742" cy="6095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188673</xdr:colOff>
      <xdr:row>11</xdr:row>
      <xdr:rowOff>146627</xdr:rowOff>
    </xdr:from>
    <xdr:to>
      <xdr:col>6</xdr:col>
      <xdr:colOff>304559</xdr:colOff>
      <xdr:row>13</xdr:row>
      <xdr:rowOff>92851</xdr:rowOff>
    </xdr:to>
    <xdr:sp macro="" textlink="">
      <xdr:nvSpPr>
        <xdr:cNvPr id="17" name="TextBox 36">
          <a:extLst>
            <a:ext uri="{FF2B5EF4-FFF2-40B4-BE49-F238E27FC236}">
              <a16:creationId xmlns:a16="http://schemas.microsoft.com/office/drawing/2014/main" id="{8378C376-5DCF-234C-8D4E-FF7334E4E5D3}"/>
            </a:ext>
          </a:extLst>
        </xdr:cNvPr>
        <xdr:cNvSpPr txBox="1"/>
      </xdr:nvSpPr>
      <xdr:spPr>
        <a:xfrm>
          <a:off x="2411173" y="3029527"/>
          <a:ext cx="471486" cy="45422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</xdr:col>
      <xdr:colOff>311728</xdr:colOff>
      <xdr:row>11</xdr:row>
      <xdr:rowOff>146627</xdr:rowOff>
    </xdr:from>
    <xdr:to>
      <xdr:col>4</xdr:col>
      <xdr:colOff>131733</xdr:colOff>
      <xdr:row>13</xdr:row>
      <xdr:rowOff>92852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8E6EEEB7-3A0E-8E4B-A06D-1F8F3F152C55}"/>
            </a:ext>
          </a:extLst>
        </xdr:cNvPr>
        <xdr:cNvSpPr txBox="1"/>
      </xdr:nvSpPr>
      <xdr:spPr>
        <a:xfrm>
          <a:off x="1505528" y="3029527"/>
          <a:ext cx="518505" cy="4542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9</xdr:col>
      <xdr:colOff>330201</xdr:colOff>
      <xdr:row>13</xdr:row>
      <xdr:rowOff>58092</xdr:rowOff>
    </xdr:from>
    <xdr:to>
      <xdr:col>11</xdr:col>
      <xdr:colOff>53203</xdr:colOff>
      <xdr:row>14</xdr:row>
      <xdr:rowOff>167990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4343401" y="3474392"/>
          <a:ext cx="408802" cy="3638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15101</xdr:colOff>
      <xdr:row>17</xdr:row>
      <xdr:rowOff>163433</xdr:rowOff>
    </xdr:from>
    <xdr:to>
      <xdr:col>12</xdr:col>
      <xdr:colOff>68303</xdr:colOff>
      <xdr:row>19</xdr:row>
      <xdr:rowOff>44731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BE23AD9-416E-9170-F359-AFE463B72251}"/>
            </a:ext>
          </a:extLst>
        </xdr:cNvPr>
        <xdr:cNvSpPr/>
      </xdr:nvSpPr>
      <xdr:spPr>
        <a:xfrm>
          <a:off x="4714101" y="4583033"/>
          <a:ext cx="408802" cy="363898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191702</xdr:colOff>
      <xdr:row>14</xdr:row>
      <xdr:rowOff>167990</xdr:rowOff>
    </xdr:from>
    <xdr:to>
      <xdr:col>11</xdr:col>
      <xdr:colOff>219502</xdr:colOff>
      <xdr:row>17</xdr:row>
      <xdr:rowOff>163433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431EE80-A4C1-AF81-AF56-3EECEE681698}"/>
            </a:ext>
          </a:extLst>
        </xdr:cNvPr>
        <xdr:cNvCxnSpPr>
          <a:cxnSpLocks/>
          <a:stCxn id="36" idx="4"/>
          <a:endCxn id="37" idx="0"/>
        </xdr:cNvCxnSpPr>
      </xdr:nvCxnSpPr>
      <xdr:spPr>
        <a:xfrm>
          <a:off x="4547802" y="3838290"/>
          <a:ext cx="370700" cy="7447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28799</xdr:colOff>
      <xdr:row>11</xdr:row>
      <xdr:rowOff>165101</xdr:rowOff>
    </xdr:from>
    <xdr:to>
      <xdr:col>11</xdr:col>
      <xdr:colOff>164606</xdr:colOff>
      <xdr:row>13</xdr:row>
      <xdr:rowOff>122870</xdr:rowOff>
    </xdr:to>
    <xdr:sp macro="" textlink="">
      <xdr:nvSpPr>
        <xdr:cNvPr id="39" name="TextBox 10">
          <a:extLst>
            <a:ext uri="{FF2B5EF4-FFF2-40B4-BE49-F238E27FC236}">
              <a16:creationId xmlns:a16="http://schemas.microsoft.com/office/drawing/2014/main" id="{9449EEAC-C477-17EC-A677-229366978422}"/>
            </a:ext>
          </a:extLst>
        </xdr:cNvPr>
        <xdr:cNvSpPr txBox="1"/>
      </xdr:nvSpPr>
      <xdr:spPr>
        <a:xfrm>
          <a:off x="4384899" y="3073401"/>
          <a:ext cx="47870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11</xdr:col>
      <xdr:colOff>70242</xdr:colOff>
      <xdr:row>19</xdr:row>
      <xdr:rowOff>8193</xdr:rowOff>
    </xdr:from>
    <xdr:to>
      <xdr:col>12</xdr:col>
      <xdr:colOff>158352</xdr:colOff>
      <xdr:row>20</xdr:row>
      <xdr:rowOff>219962</xdr:rowOff>
    </xdr:to>
    <xdr:sp macro="" textlink="">
      <xdr:nvSpPr>
        <xdr:cNvPr id="40" name="TextBox 13">
          <a:extLst>
            <a:ext uri="{FF2B5EF4-FFF2-40B4-BE49-F238E27FC236}">
              <a16:creationId xmlns:a16="http://schemas.microsoft.com/office/drawing/2014/main" id="{5570AC2B-2026-3406-22A1-64D07ABDDA6E}"/>
            </a:ext>
          </a:extLst>
        </xdr:cNvPr>
        <xdr:cNvSpPr txBox="1"/>
      </xdr:nvSpPr>
      <xdr:spPr>
        <a:xfrm>
          <a:off x="4769242" y="4910393"/>
          <a:ext cx="443710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14</xdr:col>
      <xdr:colOff>76200</xdr:colOff>
      <xdr:row>17</xdr:row>
      <xdr:rowOff>190499</xdr:rowOff>
    </xdr:from>
    <xdr:to>
      <xdr:col>15</xdr:col>
      <xdr:colOff>121492</xdr:colOff>
      <xdr:row>19</xdr:row>
      <xdr:rowOff>70130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631D18F5-FF21-FE6B-83D1-BF3EA89CC33A}"/>
            </a:ext>
          </a:extLst>
        </xdr:cNvPr>
        <xdr:cNvSpPr/>
      </xdr:nvSpPr>
      <xdr:spPr>
        <a:xfrm>
          <a:off x="5791200" y="4610099"/>
          <a:ext cx="375492" cy="362231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191702</xdr:colOff>
      <xdr:row>14</xdr:row>
      <xdr:rowOff>167990</xdr:rowOff>
    </xdr:from>
    <xdr:to>
      <xdr:col>14</xdr:col>
      <xdr:colOff>263946</xdr:colOff>
      <xdr:row>17</xdr:row>
      <xdr:rowOff>190499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36" idx="4"/>
          <a:endCxn id="41" idx="0"/>
        </xdr:cNvCxnSpPr>
      </xdr:nvCxnSpPr>
      <xdr:spPr>
        <a:xfrm>
          <a:off x="4547802" y="3838290"/>
          <a:ext cx="1431144" cy="77180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153190</xdr:colOff>
      <xdr:row>19</xdr:row>
      <xdr:rowOff>20893</xdr:rowOff>
    </xdr:from>
    <xdr:to>
      <xdr:col>15</xdr:col>
      <xdr:colOff>266700</xdr:colOff>
      <xdr:row>20</xdr:row>
      <xdr:rowOff>232662</xdr:rowOff>
    </xdr:to>
    <xdr:sp macro="" textlink="">
      <xdr:nvSpPr>
        <xdr:cNvPr id="43" name="TextBox 24">
          <a:extLst>
            <a:ext uri="{FF2B5EF4-FFF2-40B4-BE49-F238E27FC236}">
              <a16:creationId xmlns:a16="http://schemas.microsoft.com/office/drawing/2014/main" id="{FF1ED835-5BB4-8ECC-E3DD-C3D3DAE4C1E1}"/>
            </a:ext>
          </a:extLst>
        </xdr:cNvPr>
        <xdr:cNvSpPr txBox="1"/>
      </xdr:nvSpPr>
      <xdr:spPr>
        <a:xfrm>
          <a:off x="5868190" y="4923093"/>
          <a:ext cx="443710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12</xdr:col>
      <xdr:colOff>239280</xdr:colOff>
      <xdr:row>13</xdr:row>
      <xdr:rowOff>58092</xdr:rowOff>
    </xdr:from>
    <xdr:to>
      <xdr:col>13</xdr:col>
      <xdr:colOff>292482</xdr:colOff>
      <xdr:row>14</xdr:row>
      <xdr:rowOff>167990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0443325-2DDB-B6AB-14DE-04DF66609704}"/>
            </a:ext>
          </a:extLst>
        </xdr:cNvPr>
        <xdr:cNvSpPr/>
      </xdr:nvSpPr>
      <xdr:spPr>
        <a:xfrm>
          <a:off x="5293880" y="3474392"/>
          <a:ext cx="408802" cy="3638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219502</xdr:colOff>
      <xdr:row>14</xdr:row>
      <xdr:rowOff>167990</xdr:rowOff>
    </xdr:from>
    <xdr:to>
      <xdr:col>13</xdr:col>
      <xdr:colOff>88081</xdr:colOff>
      <xdr:row>17</xdr:row>
      <xdr:rowOff>163433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2A86A7B5-5FC1-B1FF-7611-C7EE665F8530}"/>
            </a:ext>
          </a:extLst>
        </xdr:cNvPr>
        <xdr:cNvCxnSpPr>
          <a:cxnSpLocks/>
          <a:stCxn id="44" idx="4"/>
          <a:endCxn id="37" idx="0"/>
        </xdr:cNvCxnSpPr>
      </xdr:nvCxnSpPr>
      <xdr:spPr>
        <a:xfrm flipH="1">
          <a:off x="4918502" y="3838290"/>
          <a:ext cx="579779" cy="7447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88081</xdr:colOff>
      <xdr:row>14</xdr:row>
      <xdr:rowOff>167990</xdr:rowOff>
    </xdr:from>
    <xdr:to>
      <xdr:col>14</xdr:col>
      <xdr:colOff>263946</xdr:colOff>
      <xdr:row>17</xdr:row>
      <xdr:rowOff>190499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EAC3926-A8FD-BDE5-602E-BC0A384FC01C}"/>
            </a:ext>
          </a:extLst>
        </xdr:cNvPr>
        <xdr:cNvCxnSpPr>
          <a:cxnSpLocks/>
          <a:stCxn id="44" idx="4"/>
          <a:endCxn id="41" idx="0"/>
        </xdr:cNvCxnSpPr>
      </xdr:nvCxnSpPr>
      <xdr:spPr>
        <a:xfrm>
          <a:off x="5498281" y="3838290"/>
          <a:ext cx="480665" cy="77180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11</xdr:row>
      <xdr:rowOff>152400</xdr:rowOff>
    </xdr:from>
    <xdr:to>
      <xdr:col>14</xdr:col>
      <xdr:colOff>39706</xdr:colOff>
      <xdr:row>13</xdr:row>
      <xdr:rowOff>110169</xdr:rowOff>
    </xdr:to>
    <xdr:sp macro="" textlink="">
      <xdr:nvSpPr>
        <xdr:cNvPr id="47" name="TextBox 36">
          <a:extLst>
            <a:ext uri="{FF2B5EF4-FFF2-40B4-BE49-F238E27FC236}">
              <a16:creationId xmlns:a16="http://schemas.microsoft.com/office/drawing/2014/main" id="{09DC33A3-445D-096B-64F9-844F919101BD}"/>
            </a:ext>
          </a:extLst>
        </xdr:cNvPr>
        <xdr:cNvSpPr txBox="1"/>
      </xdr:nvSpPr>
      <xdr:spPr>
        <a:xfrm>
          <a:off x="5321300" y="3060700"/>
          <a:ext cx="433406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15</xdr:col>
      <xdr:colOff>96528</xdr:colOff>
      <xdr:row>13</xdr:row>
      <xdr:rowOff>65763</xdr:rowOff>
    </xdr:from>
    <xdr:to>
      <xdr:col>16</xdr:col>
      <xdr:colOff>162430</xdr:colOff>
      <xdr:row>14</xdr:row>
      <xdr:rowOff>175661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4AB7A3A1-C28C-2F4F-A428-E5AB2E6479E4}"/>
            </a:ext>
          </a:extLst>
        </xdr:cNvPr>
        <xdr:cNvSpPr/>
      </xdr:nvSpPr>
      <xdr:spPr>
        <a:xfrm>
          <a:off x="6141728" y="3482063"/>
          <a:ext cx="408802" cy="3638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15</xdr:col>
      <xdr:colOff>160028</xdr:colOff>
      <xdr:row>11</xdr:row>
      <xdr:rowOff>155602</xdr:rowOff>
    </xdr:from>
    <xdr:to>
      <xdr:col>16</xdr:col>
      <xdr:colOff>295835</xdr:colOff>
      <xdr:row>13</xdr:row>
      <xdr:rowOff>113371</xdr:rowOff>
    </xdr:to>
    <xdr:sp macro="" textlink="">
      <xdr:nvSpPr>
        <xdr:cNvPr id="49" name="TextBox 38">
          <a:extLst>
            <a:ext uri="{FF2B5EF4-FFF2-40B4-BE49-F238E27FC236}">
              <a16:creationId xmlns:a16="http://schemas.microsoft.com/office/drawing/2014/main" id="{79A27660-3CE0-0B3A-72DF-5DF97053D96D}"/>
            </a:ext>
          </a:extLst>
        </xdr:cNvPr>
        <xdr:cNvSpPr txBox="1"/>
      </xdr:nvSpPr>
      <xdr:spPr>
        <a:xfrm>
          <a:off x="6205228" y="3063902"/>
          <a:ext cx="47870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14</xdr:col>
      <xdr:colOff>263946</xdr:colOff>
      <xdr:row>14</xdr:row>
      <xdr:rowOff>175661</xdr:rowOff>
    </xdr:from>
    <xdr:to>
      <xdr:col>15</xdr:col>
      <xdr:colOff>300929</xdr:colOff>
      <xdr:row>17</xdr:row>
      <xdr:rowOff>190499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602756E-D7C5-1912-07CF-091DE700B149}"/>
            </a:ext>
          </a:extLst>
        </xdr:cNvPr>
        <xdr:cNvCxnSpPr>
          <a:cxnSpLocks/>
          <a:stCxn id="48" idx="4"/>
          <a:endCxn id="41" idx="0"/>
        </xdr:cNvCxnSpPr>
      </xdr:nvCxnSpPr>
      <xdr:spPr>
        <a:xfrm flipH="1">
          <a:off x="5978946" y="3845961"/>
          <a:ext cx="367183" cy="7641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219502</xdr:colOff>
      <xdr:row>14</xdr:row>
      <xdr:rowOff>175661</xdr:rowOff>
    </xdr:from>
    <xdr:to>
      <xdr:col>15</xdr:col>
      <xdr:colOff>300929</xdr:colOff>
      <xdr:row>17</xdr:row>
      <xdr:rowOff>163433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3938A5F-758B-4E9E-7D06-930E3751A3F5}"/>
            </a:ext>
          </a:extLst>
        </xdr:cNvPr>
        <xdr:cNvCxnSpPr>
          <a:cxnSpLocks/>
          <a:stCxn id="48" idx="4"/>
          <a:endCxn id="37" idx="0"/>
        </xdr:cNvCxnSpPr>
      </xdr:nvCxnSpPr>
      <xdr:spPr>
        <a:xfrm flipH="1">
          <a:off x="4918502" y="3845961"/>
          <a:ext cx="1427627" cy="7370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330201</xdr:colOff>
      <xdr:row>13</xdr:row>
      <xdr:rowOff>58092</xdr:rowOff>
    </xdr:from>
    <xdr:to>
      <xdr:col>20</xdr:col>
      <xdr:colOff>53203</xdr:colOff>
      <xdr:row>14</xdr:row>
      <xdr:rowOff>167990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4EBDD893-F038-1C45-9628-7FD9E950B449}"/>
            </a:ext>
          </a:extLst>
        </xdr:cNvPr>
        <xdr:cNvSpPr/>
      </xdr:nvSpPr>
      <xdr:spPr>
        <a:xfrm>
          <a:off x="4343401" y="3461692"/>
          <a:ext cx="408802" cy="3638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20</xdr:col>
      <xdr:colOff>15101</xdr:colOff>
      <xdr:row>17</xdr:row>
      <xdr:rowOff>163433</xdr:rowOff>
    </xdr:from>
    <xdr:to>
      <xdr:col>21</xdr:col>
      <xdr:colOff>68303</xdr:colOff>
      <xdr:row>19</xdr:row>
      <xdr:rowOff>44731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8E4995EA-678D-D344-8F34-1A7B1BB7A46B}"/>
            </a:ext>
          </a:extLst>
        </xdr:cNvPr>
        <xdr:cNvSpPr/>
      </xdr:nvSpPr>
      <xdr:spPr>
        <a:xfrm>
          <a:off x="4714101" y="4570333"/>
          <a:ext cx="408802" cy="363898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191702</xdr:colOff>
      <xdr:row>14</xdr:row>
      <xdr:rowOff>167990</xdr:rowOff>
    </xdr:from>
    <xdr:to>
      <xdr:col>20</xdr:col>
      <xdr:colOff>219502</xdr:colOff>
      <xdr:row>17</xdr:row>
      <xdr:rowOff>163433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309BB9D-5973-B64B-8045-BC38F957DB58}"/>
            </a:ext>
          </a:extLst>
        </xdr:cNvPr>
        <xdr:cNvCxnSpPr>
          <a:cxnSpLocks/>
          <a:stCxn id="67" idx="4"/>
          <a:endCxn id="68" idx="0"/>
        </xdr:cNvCxnSpPr>
      </xdr:nvCxnSpPr>
      <xdr:spPr>
        <a:xfrm>
          <a:off x="4547802" y="3825590"/>
          <a:ext cx="370700" cy="7447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28799</xdr:colOff>
      <xdr:row>11</xdr:row>
      <xdr:rowOff>165101</xdr:rowOff>
    </xdr:from>
    <xdr:to>
      <xdr:col>20</xdr:col>
      <xdr:colOff>164606</xdr:colOff>
      <xdr:row>13</xdr:row>
      <xdr:rowOff>122870</xdr:rowOff>
    </xdr:to>
    <xdr:sp macro="" textlink="">
      <xdr:nvSpPr>
        <xdr:cNvPr id="70" name="TextBox 10">
          <a:extLst>
            <a:ext uri="{FF2B5EF4-FFF2-40B4-BE49-F238E27FC236}">
              <a16:creationId xmlns:a16="http://schemas.microsoft.com/office/drawing/2014/main" id="{0132E4B0-7A04-3643-89DE-ABBCEDC3AE07}"/>
            </a:ext>
          </a:extLst>
        </xdr:cNvPr>
        <xdr:cNvSpPr txBox="1"/>
      </xdr:nvSpPr>
      <xdr:spPr>
        <a:xfrm>
          <a:off x="4384899" y="3060701"/>
          <a:ext cx="47870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20</xdr:col>
      <xdr:colOff>70242</xdr:colOff>
      <xdr:row>19</xdr:row>
      <xdr:rowOff>8193</xdr:rowOff>
    </xdr:from>
    <xdr:to>
      <xdr:col>21</xdr:col>
      <xdr:colOff>158352</xdr:colOff>
      <xdr:row>20</xdr:row>
      <xdr:rowOff>219962</xdr:rowOff>
    </xdr:to>
    <xdr:sp macro="" textlink="">
      <xdr:nvSpPr>
        <xdr:cNvPr id="71" name="TextBox 13">
          <a:extLst>
            <a:ext uri="{FF2B5EF4-FFF2-40B4-BE49-F238E27FC236}">
              <a16:creationId xmlns:a16="http://schemas.microsoft.com/office/drawing/2014/main" id="{1F3B5C9F-8905-E544-8D2A-134423DC05B2}"/>
            </a:ext>
          </a:extLst>
        </xdr:cNvPr>
        <xdr:cNvSpPr txBox="1"/>
      </xdr:nvSpPr>
      <xdr:spPr>
        <a:xfrm>
          <a:off x="4769242" y="4897693"/>
          <a:ext cx="443710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23</xdr:col>
      <xdr:colOff>76200</xdr:colOff>
      <xdr:row>17</xdr:row>
      <xdr:rowOff>190499</xdr:rowOff>
    </xdr:from>
    <xdr:to>
      <xdr:col>24</xdr:col>
      <xdr:colOff>121492</xdr:colOff>
      <xdr:row>19</xdr:row>
      <xdr:rowOff>70130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D25220A9-8106-5A4D-9658-BF68178EEB31}"/>
            </a:ext>
          </a:extLst>
        </xdr:cNvPr>
        <xdr:cNvSpPr/>
      </xdr:nvSpPr>
      <xdr:spPr>
        <a:xfrm>
          <a:off x="5791200" y="4597399"/>
          <a:ext cx="375492" cy="362231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191702</xdr:colOff>
      <xdr:row>14</xdr:row>
      <xdr:rowOff>167990</xdr:rowOff>
    </xdr:from>
    <xdr:to>
      <xdr:col>23</xdr:col>
      <xdr:colOff>263946</xdr:colOff>
      <xdr:row>17</xdr:row>
      <xdr:rowOff>190499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35B5177-AF39-BA42-889F-5461905DE4E7}"/>
            </a:ext>
          </a:extLst>
        </xdr:cNvPr>
        <xdr:cNvCxnSpPr>
          <a:cxnSpLocks/>
          <a:stCxn id="67" idx="4"/>
          <a:endCxn id="72" idx="0"/>
        </xdr:cNvCxnSpPr>
      </xdr:nvCxnSpPr>
      <xdr:spPr>
        <a:xfrm>
          <a:off x="4547802" y="3825590"/>
          <a:ext cx="1431144" cy="77180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153190</xdr:colOff>
      <xdr:row>19</xdr:row>
      <xdr:rowOff>20893</xdr:rowOff>
    </xdr:from>
    <xdr:to>
      <xdr:col>24</xdr:col>
      <xdr:colOff>266700</xdr:colOff>
      <xdr:row>20</xdr:row>
      <xdr:rowOff>232662</xdr:rowOff>
    </xdr:to>
    <xdr:sp macro="" textlink="">
      <xdr:nvSpPr>
        <xdr:cNvPr id="74" name="TextBox 24">
          <a:extLst>
            <a:ext uri="{FF2B5EF4-FFF2-40B4-BE49-F238E27FC236}">
              <a16:creationId xmlns:a16="http://schemas.microsoft.com/office/drawing/2014/main" id="{9B4FDE6A-6D71-8A4F-820E-B92E43EF136C}"/>
            </a:ext>
          </a:extLst>
        </xdr:cNvPr>
        <xdr:cNvSpPr txBox="1"/>
      </xdr:nvSpPr>
      <xdr:spPr>
        <a:xfrm>
          <a:off x="5868190" y="4910393"/>
          <a:ext cx="443710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21</xdr:col>
      <xdr:colOff>239280</xdr:colOff>
      <xdr:row>13</xdr:row>
      <xdr:rowOff>58092</xdr:rowOff>
    </xdr:from>
    <xdr:to>
      <xdr:col>22</xdr:col>
      <xdr:colOff>292482</xdr:colOff>
      <xdr:row>14</xdr:row>
      <xdr:rowOff>167990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773FFC66-52D1-D74B-9BE0-93FF585E0ED3}"/>
            </a:ext>
          </a:extLst>
        </xdr:cNvPr>
        <xdr:cNvSpPr/>
      </xdr:nvSpPr>
      <xdr:spPr>
        <a:xfrm>
          <a:off x="5293880" y="3461692"/>
          <a:ext cx="408802" cy="3638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20</xdr:col>
      <xdr:colOff>219502</xdr:colOff>
      <xdr:row>14</xdr:row>
      <xdr:rowOff>167990</xdr:rowOff>
    </xdr:from>
    <xdr:to>
      <xdr:col>22</xdr:col>
      <xdr:colOff>88081</xdr:colOff>
      <xdr:row>17</xdr:row>
      <xdr:rowOff>163433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E28FD747-F2FC-E545-B0B7-37BD97FF904C}"/>
            </a:ext>
          </a:extLst>
        </xdr:cNvPr>
        <xdr:cNvCxnSpPr>
          <a:cxnSpLocks/>
          <a:stCxn id="75" idx="4"/>
          <a:endCxn id="68" idx="0"/>
        </xdr:cNvCxnSpPr>
      </xdr:nvCxnSpPr>
      <xdr:spPr>
        <a:xfrm flipH="1">
          <a:off x="4918502" y="3825590"/>
          <a:ext cx="579779" cy="74474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88081</xdr:colOff>
      <xdr:row>14</xdr:row>
      <xdr:rowOff>167990</xdr:rowOff>
    </xdr:from>
    <xdr:to>
      <xdr:col>23</xdr:col>
      <xdr:colOff>263946</xdr:colOff>
      <xdr:row>17</xdr:row>
      <xdr:rowOff>190499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67836725-C6F6-884F-9155-0D70C9A52DC7}"/>
            </a:ext>
          </a:extLst>
        </xdr:cNvPr>
        <xdr:cNvCxnSpPr>
          <a:cxnSpLocks/>
          <a:stCxn id="75" idx="4"/>
          <a:endCxn id="72" idx="0"/>
        </xdr:cNvCxnSpPr>
      </xdr:nvCxnSpPr>
      <xdr:spPr>
        <a:xfrm>
          <a:off x="5498281" y="3825590"/>
          <a:ext cx="480665" cy="77180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11</xdr:row>
      <xdr:rowOff>152400</xdr:rowOff>
    </xdr:from>
    <xdr:to>
      <xdr:col>23</xdr:col>
      <xdr:colOff>39706</xdr:colOff>
      <xdr:row>13</xdr:row>
      <xdr:rowOff>110169</xdr:rowOff>
    </xdr:to>
    <xdr:sp macro="" textlink="">
      <xdr:nvSpPr>
        <xdr:cNvPr id="78" name="TextBox 36">
          <a:extLst>
            <a:ext uri="{FF2B5EF4-FFF2-40B4-BE49-F238E27FC236}">
              <a16:creationId xmlns:a16="http://schemas.microsoft.com/office/drawing/2014/main" id="{D4793942-C6F3-D845-843D-6CB25B6F6977}"/>
            </a:ext>
          </a:extLst>
        </xdr:cNvPr>
        <xdr:cNvSpPr txBox="1"/>
      </xdr:nvSpPr>
      <xdr:spPr>
        <a:xfrm>
          <a:off x="5321300" y="3048000"/>
          <a:ext cx="433406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24</xdr:col>
      <xdr:colOff>96528</xdr:colOff>
      <xdr:row>13</xdr:row>
      <xdr:rowOff>65763</xdr:rowOff>
    </xdr:from>
    <xdr:to>
      <xdr:col>25</xdr:col>
      <xdr:colOff>162430</xdr:colOff>
      <xdr:row>14</xdr:row>
      <xdr:rowOff>175661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F05B45BE-8552-5340-BAE3-8496D74E2925}"/>
            </a:ext>
          </a:extLst>
        </xdr:cNvPr>
        <xdr:cNvSpPr/>
      </xdr:nvSpPr>
      <xdr:spPr>
        <a:xfrm>
          <a:off x="6141728" y="3469363"/>
          <a:ext cx="408802" cy="3638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24</xdr:col>
      <xdr:colOff>160028</xdr:colOff>
      <xdr:row>11</xdr:row>
      <xdr:rowOff>155602</xdr:rowOff>
    </xdr:from>
    <xdr:to>
      <xdr:col>25</xdr:col>
      <xdr:colOff>295835</xdr:colOff>
      <xdr:row>13</xdr:row>
      <xdr:rowOff>113371</xdr:rowOff>
    </xdr:to>
    <xdr:sp macro="" textlink="">
      <xdr:nvSpPr>
        <xdr:cNvPr id="80" name="TextBox 38">
          <a:extLst>
            <a:ext uri="{FF2B5EF4-FFF2-40B4-BE49-F238E27FC236}">
              <a16:creationId xmlns:a16="http://schemas.microsoft.com/office/drawing/2014/main" id="{BCF0DE26-7AF2-3C42-AD92-1585607BFC18}"/>
            </a:ext>
          </a:extLst>
        </xdr:cNvPr>
        <xdr:cNvSpPr txBox="1"/>
      </xdr:nvSpPr>
      <xdr:spPr>
        <a:xfrm>
          <a:off x="6205228" y="3051202"/>
          <a:ext cx="47870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23</xdr:col>
      <xdr:colOff>263946</xdr:colOff>
      <xdr:row>14</xdr:row>
      <xdr:rowOff>175661</xdr:rowOff>
    </xdr:from>
    <xdr:to>
      <xdr:col>24</xdr:col>
      <xdr:colOff>300929</xdr:colOff>
      <xdr:row>17</xdr:row>
      <xdr:rowOff>190499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47464FB-B008-584F-ADD3-11BB5149C82E}"/>
            </a:ext>
          </a:extLst>
        </xdr:cNvPr>
        <xdr:cNvCxnSpPr>
          <a:cxnSpLocks/>
          <a:stCxn id="79" idx="4"/>
          <a:endCxn id="72" idx="0"/>
        </xdr:cNvCxnSpPr>
      </xdr:nvCxnSpPr>
      <xdr:spPr>
        <a:xfrm flipH="1">
          <a:off x="5978946" y="3833261"/>
          <a:ext cx="367183" cy="7641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219502</xdr:colOff>
      <xdr:row>14</xdr:row>
      <xdr:rowOff>175661</xdr:rowOff>
    </xdr:from>
    <xdr:to>
      <xdr:col>24</xdr:col>
      <xdr:colOff>300929</xdr:colOff>
      <xdr:row>17</xdr:row>
      <xdr:rowOff>163433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3FAD891A-FE5C-1747-B0BD-1547ED07DF93}"/>
            </a:ext>
          </a:extLst>
        </xdr:cNvPr>
        <xdr:cNvCxnSpPr>
          <a:cxnSpLocks/>
          <a:stCxn id="79" idx="4"/>
          <a:endCxn id="68" idx="0"/>
        </xdr:cNvCxnSpPr>
      </xdr:nvCxnSpPr>
      <xdr:spPr>
        <a:xfrm flipH="1">
          <a:off x="4918502" y="3833261"/>
          <a:ext cx="1427627" cy="7370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</xdr:row>
      <xdr:rowOff>210491</xdr:rowOff>
    </xdr:from>
    <xdr:to>
      <xdr:col>29</xdr:col>
      <xdr:colOff>65411</xdr:colOff>
      <xdr:row>15</xdr:row>
      <xdr:rowOff>80094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4C41BA89-EEA3-9B85-5573-8679BFA070BB}"/>
            </a:ext>
          </a:extLst>
        </xdr:cNvPr>
        <xdr:cNvSpPr/>
      </xdr:nvSpPr>
      <xdr:spPr>
        <a:xfrm>
          <a:off x="11455400" y="3868091"/>
          <a:ext cx="421011" cy="3776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28</xdr:col>
      <xdr:colOff>9026</xdr:colOff>
      <xdr:row>17</xdr:row>
      <xdr:rowOff>239632</xdr:rowOff>
    </xdr:from>
    <xdr:to>
      <xdr:col>29</xdr:col>
      <xdr:colOff>74437</xdr:colOff>
      <xdr:row>19</xdr:row>
      <xdr:rowOff>121935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7BE23AD9-416E-9170-F359-AFE463B72251}"/>
            </a:ext>
          </a:extLst>
        </xdr:cNvPr>
        <xdr:cNvSpPr/>
      </xdr:nvSpPr>
      <xdr:spPr>
        <a:xfrm>
          <a:off x="11464426" y="4887832"/>
          <a:ext cx="421011" cy="3776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28</xdr:col>
      <xdr:colOff>210506</xdr:colOff>
      <xdr:row>15</xdr:row>
      <xdr:rowOff>80094</xdr:rowOff>
    </xdr:from>
    <xdr:to>
      <xdr:col>28</xdr:col>
      <xdr:colOff>219532</xdr:colOff>
      <xdr:row>17</xdr:row>
      <xdr:rowOff>239632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F431EE80-A4C1-AF81-AF56-3EECEE681698}"/>
            </a:ext>
          </a:extLst>
        </xdr:cNvPr>
        <xdr:cNvCxnSpPr>
          <a:cxnSpLocks/>
          <a:stCxn id="99" idx="4"/>
          <a:endCxn id="100" idx="0"/>
        </xdr:cNvCxnSpPr>
      </xdr:nvCxnSpPr>
      <xdr:spPr>
        <a:xfrm>
          <a:off x="11665906" y="4245694"/>
          <a:ext cx="9026" cy="6421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66898</xdr:colOff>
      <xdr:row>12</xdr:row>
      <xdr:rowOff>76200</xdr:rowOff>
    </xdr:from>
    <xdr:to>
      <xdr:col>29</xdr:col>
      <xdr:colOff>204303</xdr:colOff>
      <xdr:row>14</xdr:row>
      <xdr:rowOff>46605</xdr:rowOff>
    </xdr:to>
    <xdr:sp macro="" textlink="">
      <xdr:nvSpPr>
        <xdr:cNvPr id="102" name="TextBox 10">
          <a:extLst>
            <a:ext uri="{FF2B5EF4-FFF2-40B4-BE49-F238E27FC236}">
              <a16:creationId xmlns:a16="http://schemas.microsoft.com/office/drawing/2014/main" id="{9449EEAC-C477-17EC-A677-229366978422}"/>
            </a:ext>
          </a:extLst>
        </xdr:cNvPr>
        <xdr:cNvSpPr txBox="1"/>
      </xdr:nvSpPr>
      <xdr:spPr>
        <a:xfrm>
          <a:off x="11522298" y="3479800"/>
          <a:ext cx="493005" cy="4657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28</xdr:col>
      <xdr:colOff>114968</xdr:colOff>
      <xdr:row>19</xdr:row>
      <xdr:rowOff>46292</xdr:rowOff>
    </xdr:from>
    <xdr:to>
      <xdr:col>29</xdr:col>
      <xdr:colOff>216330</xdr:colOff>
      <xdr:row>21</xdr:row>
      <xdr:rowOff>42097</xdr:rowOff>
    </xdr:to>
    <xdr:sp macro="" textlink="">
      <xdr:nvSpPr>
        <xdr:cNvPr id="103" name="TextBox 13">
          <a:extLst>
            <a:ext uri="{FF2B5EF4-FFF2-40B4-BE49-F238E27FC236}">
              <a16:creationId xmlns:a16="http://schemas.microsoft.com/office/drawing/2014/main" id="{5570AC2B-2026-3406-22A1-64D07ABDDA6E}"/>
            </a:ext>
          </a:extLst>
        </xdr:cNvPr>
        <xdr:cNvSpPr txBox="1"/>
      </xdr:nvSpPr>
      <xdr:spPr>
        <a:xfrm>
          <a:off x="11570368" y="5189792"/>
          <a:ext cx="456962" cy="4657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30</xdr:col>
      <xdr:colOff>113015</xdr:colOff>
      <xdr:row>17</xdr:row>
      <xdr:rowOff>239632</xdr:rowOff>
    </xdr:from>
    <xdr:to>
      <xdr:col>31</xdr:col>
      <xdr:colOff>178426</xdr:colOff>
      <xdr:row>19</xdr:row>
      <xdr:rowOff>121935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631D18F5-FF21-FE6B-83D1-BF3EA89CC33A}"/>
            </a:ext>
          </a:extLst>
        </xdr:cNvPr>
        <xdr:cNvSpPr/>
      </xdr:nvSpPr>
      <xdr:spPr>
        <a:xfrm>
          <a:off x="12279615" y="4646532"/>
          <a:ext cx="421011" cy="364903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28</xdr:col>
      <xdr:colOff>210506</xdr:colOff>
      <xdr:row>15</xdr:row>
      <xdr:rowOff>80094</xdr:rowOff>
    </xdr:from>
    <xdr:to>
      <xdr:col>30</xdr:col>
      <xdr:colOff>323521</xdr:colOff>
      <xdr:row>17</xdr:row>
      <xdr:rowOff>239632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D9E29F16-46D6-E2DE-C2A5-B885A9AB0179}"/>
            </a:ext>
          </a:extLst>
        </xdr:cNvPr>
        <xdr:cNvCxnSpPr>
          <a:cxnSpLocks/>
          <a:stCxn id="99" idx="4"/>
          <a:endCxn id="104" idx="0"/>
        </xdr:cNvCxnSpPr>
      </xdr:nvCxnSpPr>
      <xdr:spPr>
        <a:xfrm>
          <a:off x="11665906" y="3978994"/>
          <a:ext cx="824215" cy="6675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210616</xdr:colOff>
      <xdr:row>19</xdr:row>
      <xdr:rowOff>58992</xdr:rowOff>
    </xdr:from>
    <xdr:to>
      <xdr:col>31</xdr:col>
      <xdr:colOff>311978</xdr:colOff>
      <xdr:row>21</xdr:row>
      <xdr:rowOff>67497</xdr:rowOff>
    </xdr:to>
    <xdr:sp macro="" textlink="">
      <xdr:nvSpPr>
        <xdr:cNvPr id="106" name="TextBox 24">
          <a:extLst>
            <a:ext uri="{FF2B5EF4-FFF2-40B4-BE49-F238E27FC236}">
              <a16:creationId xmlns:a16="http://schemas.microsoft.com/office/drawing/2014/main" id="{FF1ED835-5BB4-8ECC-E3DD-C3D3DAE4C1E1}"/>
            </a:ext>
          </a:extLst>
        </xdr:cNvPr>
        <xdr:cNvSpPr txBox="1"/>
      </xdr:nvSpPr>
      <xdr:spPr>
        <a:xfrm>
          <a:off x="12377216" y="4948492"/>
          <a:ext cx="456962" cy="529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32</xdr:col>
      <xdr:colOff>261627</xdr:colOff>
      <xdr:row>18</xdr:row>
      <xdr:rowOff>23732</xdr:rowOff>
    </xdr:from>
    <xdr:to>
      <xdr:col>33</xdr:col>
      <xdr:colOff>339738</xdr:colOff>
      <xdr:row>19</xdr:row>
      <xdr:rowOff>147335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3F52F050-18BD-68BA-08DC-7AE56C8012AA}"/>
            </a:ext>
          </a:extLst>
        </xdr:cNvPr>
        <xdr:cNvSpPr/>
      </xdr:nvSpPr>
      <xdr:spPr>
        <a:xfrm>
          <a:off x="13139427" y="4671932"/>
          <a:ext cx="4210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33</xdr:col>
      <xdr:colOff>238</xdr:colOff>
      <xdr:row>19</xdr:row>
      <xdr:rowOff>71692</xdr:rowOff>
    </xdr:from>
    <xdr:to>
      <xdr:col>34</xdr:col>
      <xdr:colOff>114300</xdr:colOff>
      <xdr:row>21</xdr:row>
      <xdr:rowOff>80197</xdr:rowOff>
    </xdr:to>
    <xdr:sp macro="" textlink="">
      <xdr:nvSpPr>
        <xdr:cNvPr id="108" name="TextBox 22">
          <a:extLst>
            <a:ext uri="{FF2B5EF4-FFF2-40B4-BE49-F238E27FC236}">
              <a16:creationId xmlns:a16="http://schemas.microsoft.com/office/drawing/2014/main" id="{33ECC1AF-1510-A9D9-1320-5A8AF54832D6}"/>
            </a:ext>
          </a:extLst>
        </xdr:cNvPr>
        <xdr:cNvSpPr txBox="1"/>
      </xdr:nvSpPr>
      <xdr:spPr>
        <a:xfrm>
          <a:off x="13220938" y="4961192"/>
          <a:ext cx="456962" cy="529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28</xdr:col>
      <xdr:colOff>210506</xdr:colOff>
      <xdr:row>15</xdr:row>
      <xdr:rowOff>80094</xdr:rowOff>
    </xdr:from>
    <xdr:to>
      <xdr:col>33</xdr:col>
      <xdr:colOff>129233</xdr:colOff>
      <xdr:row>18</xdr:row>
      <xdr:rowOff>23732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8837BD97-C652-719A-175F-D2DDFF59F578}"/>
            </a:ext>
          </a:extLst>
        </xdr:cNvPr>
        <xdr:cNvCxnSpPr>
          <a:cxnSpLocks/>
          <a:stCxn id="99" idx="4"/>
          <a:endCxn id="107" idx="0"/>
        </xdr:cNvCxnSpPr>
      </xdr:nvCxnSpPr>
      <xdr:spPr>
        <a:xfrm>
          <a:off x="11665906" y="3978994"/>
          <a:ext cx="1684027" cy="6929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112279</xdr:colOff>
      <xdr:row>13</xdr:row>
      <xdr:rowOff>223191</xdr:rowOff>
    </xdr:from>
    <xdr:to>
      <xdr:col>31</xdr:col>
      <xdr:colOff>177690</xdr:colOff>
      <xdr:row>15</xdr:row>
      <xdr:rowOff>92794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E0443325-2DDB-B6AB-14DE-04DF66609704}"/>
            </a:ext>
          </a:extLst>
        </xdr:cNvPr>
        <xdr:cNvSpPr/>
      </xdr:nvSpPr>
      <xdr:spPr>
        <a:xfrm>
          <a:off x="12278879" y="3626791"/>
          <a:ext cx="421011" cy="3649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28</xdr:col>
      <xdr:colOff>219532</xdr:colOff>
      <xdr:row>15</xdr:row>
      <xdr:rowOff>92794</xdr:rowOff>
    </xdr:from>
    <xdr:to>
      <xdr:col>30</xdr:col>
      <xdr:colOff>322785</xdr:colOff>
      <xdr:row>17</xdr:row>
      <xdr:rowOff>239632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2A86A7B5-5FC1-B1FF-7611-C7EE665F8530}"/>
            </a:ext>
          </a:extLst>
        </xdr:cNvPr>
        <xdr:cNvCxnSpPr>
          <a:cxnSpLocks/>
          <a:stCxn id="110" idx="4"/>
          <a:endCxn id="100" idx="0"/>
        </xdr:cNvCxnSpPr>
      </xdr:nvCxnSpPr>
      <xdr:spPr>
        <a:xfrm flipH="1">
          <a:off x="11674932" y="3991694"/>
          <a:ext cx="814453" cy="6548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322785</xdr:colOff>
      <xdr:row>15</xdr:row>
      <xdr:rowOff>92794</xdr:rowOff>
    </xdr:from>
    <xdr:to>
      <xdr:col>30</xdr:col>
      <xdr:colOff>323521</xdr:colOff>
      <xdr:row>17</xdr:row>
      <xdr:rowOff>239632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BEAC3926-A8FD-BDE5-602E-BC0A384FC01C}"/>
            </a:ext>
          </a:extLst>
        </xdr:cNvPr>
        <xdr:cNvCxnSpPr>
          <a:cxnSpLocks/>
          <a:stCxn id="110" idx="4"/>
          <a:endCxn id="104" idx="0"/>
        </xdr:cNvCxnSpPr>
      </xdr:nvCxnSpPr>
      <xdr:spPr>
        <a:xfrm>
          <a:off x="12489385" y="3991694"/>
          <a:ext cx="736" cy="6548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322785</xdr:colOff>
      <xdr:row>15</xdr:row>
      <xdr:rowOff>92794</xdr:rowOff>
    </xdr:from>
    <xdr:to>
      <xdr:col>33</xdr:col>
      <xdr:colOff>129233</xdr:colOff>
      <xdr:row>18</xdr:row>
      <xdr:rowOff>23732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34AE5B99-579B-40C8-BE97-C4109722FB68}"/>
            </a:ext>
          </a:extLst>
        </xdr:cNvPr>
        <xdr:cNvCxnSpPr>
          <a:cxnSpLocks/>
          <a:stCxn id="110" idx="4"/>
          <a:endCxn id="107" idx="0"/>
        </xdr:cNvCxnSpPr>
      </xdr:nvCxnSpPr>
      <xdr:spPr>
        <a:xfrm>
          <a:off x="12489385" y="3991694"/>
          <a:ext cx="860548" cy="6802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183298</xdr:colOff>
      <xdr:row>12</xdr:row>
      <xdr:rowOff>84780</xdr:rowOff>
    </xdr:from>
    <xdr:to>
      <xdr:col>31</xdr:col>
      <xdr:colOff>320703</xdr:colOff>
      <xdr:row>14</xdr:row>
      <xdr:rowOff>42485</xdr:rowOff>
    </xdr:to>
    <xdr:sp macro="" textlink="">
      <xdr:nvSpPr>
        <xdr:cNvPr id="114" name="TextBox 36">
          <a:extLst>
            <a:ext uri="{FF2B5EF4-FFF2-40B4-BE49-F238E27FC236}">
              <a16:creationId xmlns:a16="http://schemas.microsoft.com/office/drawing/2014/main" id="{09DC33A3-445D-096B-64F9-844F919101BD}"/>
            </a:ext>
          </a:extLst>
        </xdr:cNvPr>
        <xdr:cNvSpPr txBox="1"/>
      </xdr:nvSpPr>
      <xdr:spPr>
        <a:xfrm>
          <a:off x="12349898" y="3247080"/>
          <a:ext cx="493005" cy="4530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32</xdr:col>
      <xdr:colOff>261627</xdr:colOff>
      <xdr:row>13</xdr:row>
      <xdr:rowOff>205462</xdr:rowOff>
    </xdr:from>
    <xdr:to>
      <xdr:col>33</xdr:col>
      <xdr:colOff>339738</xdr:colOff>
      <xdr:row>15</xdr:row>
      <xdr:rowOff>75065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4AB7A3A1-C28C-2F4F-A428-E5AB2E6479E4}"/>
            </a:ext>
          </a:extLst>
        </xdr:cNvPr>
        <xdr:cNvSpPr/>
      </xdr:nvSpPr>
      <xdr:spPr>
        <a:xfrm>
          <a:off x="13139427" y="3609062"/>
          <a:ext cx="421011" cy="3649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32</xdr:col>
      <xdr:colOff>312427</xdr:colOff>
      <xdr:row>12</xdr:row>
      <xdr:rowOff>92101</xdr:rowOff>
    </xdr:from>
    <xdr:to>
      <xdr:col>34</xdr:col>
      <xdr:colOff>119632</xdr:colOff>
      <xdr:row>14</xdr:row>
      <xdr:rowOff>49806</xdr:rowOff>
    </xdr:to>
    <xdr:sp macro="" textlink="">
      <xdr:nvSpPr>
        <xdr:cNvPr id="116" name="TextBox 38">
          <a:extLst>
            <a:ext uri="{FF2B5EF4-FFF2-40B4-BE49-F238E27FC236}">
              <a16:creationId xmlns:a16="http://schemas.microsoft.com/office/drawing/2014/main" id="{79A27660-3CE0-0B3A-72DF-5DF97053D96D}"/>
            </a:ext>
          </a:extLst>
        </xdr:cNvPr>
        <xdr:cNvSpPr txBox="1"/>
      </xdr:nvSpPr>
      <xdr:spPr>
        <a:xfrm>
          <a:off x="13190227" y="3254401"/>
          <a:ext cx="493005" cy="4530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33</xdr:col>
      <xdr:colOff>129233</xdr:colOff>
      <xdr:row>15</xdr:row>
      <xdr:rowOff>75065</xdr:rowOff>
    </xdr:from>
    <xdr:to>
      <xdr:col>33</xdr:col>
      <xdr:colOff>129233</xdr:colOff>
      <xdr:row>18</xdr:row>
      <xdr:rowOff>23732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B906F524-BBAE-E906-FCD6-069082B3BBE7}"/>
            </a:ext>
          </a:extLst>
        </xdr:cNvPr>
        <xdr:cNvCxnSpPr>
          <a:cxnSpLocks/>
          <a:stCxn id="115" idx="4"/>
          <a:endCxn id="107" idx="0"/>
        </xdr:cNvCxnSpPr>
      </xdr:nvCxnSpPr>
      <xdr:spPr>
        <a:xfrm>
          <a:off x="13349933" y="3973965"/>
          <a:ext cx="0" cy="6979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323521</xdr:colOff>
      <xdr:row>15</xdr:row>
      <xdr:rowOff>75065</xdr:rowOff>
    </xdr:from>
    <xdr:to>
      <xdr:col>33</xdr:col>
      <xdr:colOff>129233</xdr:colOff>
      <xdr:row>17</xdr:row>
      <xdr:rowOff>239632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6602756E-D7C5-1912-07CF-091DE700B149}"/>
            </a:ext>
          </a:extLst>
        </xdr:cNvPr>
        <xdr:cNvCxnSpPr>
          <a:cxnSpLocks/>
          <a:stCxn id="115" idx="4"/>
          <a:endCxn id="104" idx="0"/>
        </xdr:cNvCxnSpPr>
      </xdr:nvCxnSpPr>
      <xdr:spPr>
        <a:xfrm flipH="1">
          <a:off x="12490121" y="3973965"/>
          <a:ext cx="859812" cy="6725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219532</xdr:colOff>
      <xdr:row>15</xdr:row>
      <xdr:rowOff>75065</xdr:rowOff>
    </xdr:from>
    <xdr:to>
      <xdr:col>33</xdr:col>
      <xdr:colOff>129233</xdr:colOff>
      <xdr:row>17</xdr:row>
      <xdr:rowOff>239632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D3938A5F-758B-4E9E-7D06-930E3751A3F5}"/>
            </a:ext>
          </a:extLst>
        </xdr:cNvPr>
        <xdr:cNvCxnSpPr>
          <a:cxnSpLocks/>
          <a:stCxn id="115" idx="4"/>
          <a:endCxn id="100" idx="0"/>
        </xdr:cNvCxnSpPr>
      </xdr:nvCxnSpPr>
      <xdr:spPr>
        <a:xfrm flipH="1">
          <a:off x="11674932" y="3973965"/>
          <a:ext cx="1675001" cy="6725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101600</xdr:colOff>
      <xdr:row>11</xdr:row>
      <xdr:rowOff>121356</xdr:rowOff>
    </xdr:from>
    <xdr:to>
      <xdr:col>38</xdr:col>
      <xdr:colOff>203200</xdr:colOff>
      <xdr:row>13</xdr:row>
      <xdr:rowOff>63500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6D0F9AA2-5739-5840-9DEF-EC1E03D79E07}"/>
            </a:ext>
          </a:extLst>
        </xdr:cNvPr>
        <xdr:cNvSpPr/>
      </xdr:nvSpPr>
      <xdr:spPr>
        <a:xfrm>
          <a:off x="1282700" y="2915356"/>
          <a:ext cx="444500" cy="46284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194083</xdr:colOff>
      <xdr:row>9</xdr:row>
      <xdr:rowOff>203200</xdr:rowOff>
    </xdr:from>
    <xdr:to>
      <xdr:col>39</xdr:col>
      <xdr:colOff>38100</xdr:colOff>
      <xdr:row>11</xdr:row>
      <xdr:rowOff>148269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B6A55C4-8FFD-DC4F-9377-440F283AB2C5}"/>
            </a:ext>
          </a:extLst>
        </xdr:cNvPr>
        <xdr:cNvSpPr txBox="1"/>
      </xdr:nvSpPr>
      <xdr:spPr>
        <a:xfrm>
          <a:off x="1375183" y="2413000"/>
          <a:ext cx="529817" cy="5292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38</xdr:col>
      <xdr:colOff>279400</xdr:colOff>
      <xdr:row>15</xdr:row>
      <xdr:rowOff>125333</xdr:rowOff>
    </xdr:from>
    <xdr:to>
      <xdr:col>40</xdr:col>
      <xdr:colOff>25400</xdr:colOff>
      <xdr:row>17</xdr:row>
      <xdr:rowOff>88900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63B48C0E-1185-0A49-94CA-C57D3A3D95A4}"/>
            </a:ext>
          </a:extLst>
        </xdr:cNvPr>
        <xdr:cNvSpPr/>
      </xdr:nvSpPr>
      <xdr:spPr>
        <a:xfrm>
          <a:off x="1803400" y="3922633"/>
          <a:ext cx="431800" cy="446167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323850</xdr:colOff>
      <xdr:row>13</xdr:row>
      <xdr:rowOff>63500</xdr:rowOff>
    </xdr:from>
    <xdr:to>
      <xdr:col>39</xdr:col>
      <xdr:colOff>152400</xdr:colOff>
      <xdr:row>15</xdr:row>
      <xdr:rowOff>125333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FAE57832-BB6F-8241-A03F-EE601A246C93}"/>
            </a:ext>
          </a:extLst>
        </xdr:cNvPr>
        <xdr:cNvCxnSpPr>
          <a:cxnSpLocks/>
          <a:stCxn id="147" idx="4"/>
          <a:endCxn id="149" idx="0"/>
        </xdr:cNvCxnSpPr>
      </xdr:nvCxnSpPr>
      <xdr:spPr>
        <a:xfrm>
          <a:off x="1504950" y="3378200"/>
          <a:ext cx="514350" cy="5444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14225</xdr:colOff>
      <xdr:row>17</xdr:row>
      <xdr:rowOff>33592</xdr:rowOff>
    </xdr:from>
    <xdr:to>
      <xdr:col>40</xdr:col>
      <xdr:colOff>177800</xdr:colOff>
      <xdr:row>19</xdr:row>
      <xdr:rowOff>4061</xdr:rowOff>
    </xdr:to>
    <xdr:sp macro="" textlink="">
      <xdr:nvSpPr>
        <xdr:cNvPr id="151" name="TextBox 24">
          <a:extLst>
            <a:ext uri="{FF2B5EF4-FFF2-40B4-BE49-F238E27FC236}">
              <a16:creationId xmlns:a16="http://schemas.microsoft.com/office/drawing/2014/main" id="{233A11AE-E2B8-364C-9764-4E7D3A29B9CD}"/>
            </a:ext>
          </a:extLst>
        </xdr:cNvPr>
        <xdr:cNvSpPr txBox="1"/>
      </xdr:nvSpPr>
      <xdr:spPr>
        <a:xfrm>
          <a:off x="1881125" y="4313492"/>
          <a:ext cx="506475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40</xdr:col>
      <xdr:colOff>161312</xdr:colOff>
      <xdr:row>11</xdr:row>
      <xdr:rowOff>121601</xdr:rowOff>
    </xdr:from>
    <xdr:to>
      <xdr:col>41</xdr:col>
      <xdr:colOff>241300</xdr:colOff>
      <xdr:row>13</xdr:row>
      <xdr:rowOff>63500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16E60120-0DC2-8B4B-AAB1-5154AF71FAB5}"/>
            </a:ext>
          </a:extLst>
        </xdr:cNvPr>
        <xdr:cNvSpPr/>
      </xdr:nvSpPr>
      <xdr:spPr>
        <a:xfrm>
          <a:off x="2371112" y="2915601"/>
          <a:ext cx="435588" cy="46259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39</xdr:col>
      <xdr:colOff>152400</xdr:colOff>
      <xdr:row>13</xdr:row>
      <xdr:rowOff>63500</xdr:rowOff>
    </xdr:from>
    <xdr:to>
      <xdr:col>41</xdr:col>
      <xdr:colOff>23506</xdr:colOff>
      <xdr:row>15</xdr:row>
      <xdr:rowOff>125333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F82E4256-80EA-E44F-A6A3-9C6FEDF0B051}"/>
            </a:ext>
          </a:extLst>
        </xdr:cNvPr>
        <xdr:cNvCxnSpPr>
          <a:cxnSpLocks/>
          <a:stCxn id="152" idx="4"/>
          <a:endCxn id="149" idx="0"/>
        </xdr:cNvCxnSpPr>
      </xdr:nvCxnSpPr>
      <xdr:spPr>
        <a:xfrm flipH="1">
          <a:off x="2019300" y="3378200"/>
          <a:ext cx="569606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200769</xdr:colOff>
      <xdr:row>9</xdr:row>
      <xdr:rowOff>221775</xdr:rowOff>
    </xdr:from>
    <xdr:to>
      <xdr:col>42</xdr:col>
      <xdr:colOff>23292</xdr:colOff>
      <xdr:row>11</xdr:row>
      <xdr:rowOff>166844</xdr:rowOff>
    </xdr:to>
    <xdr:sp macro="" textlink="">
      <xdr:nvSpPr>
        <xdr:cNvPr id="154" name="TextBox 36">
          <a:extLst>
            <a:ext uri="{FF2B5EF4-FFF2-40B4-BE49-F238E27FC236}">
              <a16:creationId xmlns:a16="http://schemas.microsoft.com/office/drawing/2014/main" id="{DC239BEE-AC62-1249-93DF-BE0A8BDE99A0}"/>
            </a:ext>
          </a:extLst>
        </xdr:cNvPr>
        <xdr:cNvSpPr txBox="1"/>
      </xdr:nvSpPr>
      <xdr:spPr>
        <a:xfrm>
          <a:off x="2410569" y="2431575"/>
          <a:ext cx="546423" cy="5292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37</xdr:col>
      <xdr:colOff>88901</xdr:colOff>
      <xdr:row>14</xdr:row>
      <xdr:rowOff>12700</xdr:rowOff>
    </xdr:from>
    <xdr:to>
      <xdr:col>38</xdr:col>
      <xdr:colOff>330201</xdr:colOff>
      <xdr:row>16</xdr:row>
      <xdr:rowOff>23753</xdr:rowOff>
    </xdr:to>
    <xdr:sp macro="" textlink="">
      <xdr:nvSpPr>
        <xdr:cNvPr id="155" name="TextBox 32">
          <a:extLst>
            <a:ext uri="{FF2B5EF4-FFF2-40B4-BE49-F238E27FC236}">
              <a16:creationId xmlns:a16="http://schemas.microsoft.com/office/drawing/2014/main" id="{8E3E37DB-257A-8405-CDB5-15B8E0B76ABA}"/>
            </a:ext>
          </a:extLst>
        </xdr:cNvPr>
        <xdr:cNvSpPr txBox="1"/>
      </xdr:nvSpPr>
      <xdr:spPr>
        <a:xfrm>
          <a:off x="15214601" y="36703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11</xdr:row>
      <xdr:rowOff>121356</xdr:rowOff>
    </xdr:from>
    <xdr:to>
      <xdr:col>3</xdr:col>
      <xdr:colOff>203200</xdr:colOff>
      <xdr:row>13</xdr:row>
      <xdr:rowOff>63500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EE0D88C-AD9D-1843-9C49-DFA2B8681AB4}"/>
            </a:ext>
          </a:extLst>
        </xdr:cNvPr>
        <xdr:cNvSpPr/>
      </xdr:nvSpPr>
      <xdr:spPr>
        <a:xfrm>
          <a:off x="15227300" y="3016956"/>
          <a:ext cx="482600" cy="45014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194083</xdr:colOff>
      <xdr:row>9</xdr:row>
      <xdr:rowOff>203200</xdr:rowOff>
    </xdr:from>
    <xdr:to>
      <xdr:col>4</xdr:col>
      <xdr:colOff>38100</xdr:colOff>
      <xdr:row>11</xdr:row>
      <xdr:rowOff>148269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5AF526-8147-CB4D-9CCC-102FA1471161}"/>
            </a:ext>
          </a:extLst>
        </xdr:cNvPr>
        <xdr:cNvSpPr txBox="1"/>
      </xdr:nvSpPr>
      <xdr:spPr>
        <a:xfrm>
          <a:off x="15319783" y="2527300"/>
          <a:ext cx="593317" cy="5165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</xdr:col>
      <xdr:colOff>279400</xdr:colOff>
      <xdr:row>15</xdr:row>
      <xdr:rowOff>125333</xdr:rowOff>
    </xdr:from>
    <xdr:to>
      <xdr:col>5</xdr:col>
      <xdr:colOff>25400</xdr:colOff>
      <xdr:row>17</xdr:row>
      <xdr:rowOff>88900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069ED38-3BB0-2143-8E5D-080F531A26E2}"/>
            </a:ext>
          </a:extLst>
        </xdr:cNvPr>
        <xdr:cNvSpPr/>
      </xdr:nvSpPr>
      <xdr:spPr>
        <a:xfrm>
          <a:off x="15786100" y="4024233"/>
          <a:ext cx="495300" cy="471567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323850</xdr:colOff>
      <xdr:row>13</xdr:row>
      <xdr:rowOff>63500</xdr:rowOff>
    </xdr:from>
    <xdr:to>
      <xdr:col>4</xdr:col>
      <xdr:colOff>152400</xdr:colOff>
      <xdr:row>15</xdr:row>
      <xdr:rowOff>125333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9E90342-B140-9F47-8518-6EBE7C61E616}"/>
            </a:ext>
          </a:extLst>
        </xdr:cNvPr>
        <xdr:cNvCxnSpPr>
          <a:cxnSpLocks/>
          <a:stCxn id="2" idx="4"/>
          <a:endCxn id="4" idx="0"/>
        </xdr:cNvCxnSpPr>
      </xdr:nvCxnSpPr>
      <xdr:spPr>
        <a:xfrm>
          <a:off x="15449550" y="3467100"/>
          <a:ext cx="577850" cy="5571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14225</xdr:colOff>
      <xdr:row>17</xdr:row>
      <xdr:rowOff>33592</xdr:rowOff>
    </xdr:from>
    <xdr:to>
      <xdr:col>5</xdr:col>
      <xdr:colOff>177800</xdr:colOff>
      <xdr:row>19</xdr:row>
      <xdr:rowOff>4061</xdr:rowOff>
    </xdr:to>
    <xdr:sp macro="" textlink="">
      <xdr:nvSpPr>
        <xdr:cNvPr id="6" name="TextBox 24">
          <a:extLst>
            <a:ext uri="{FF2B5EF4-FFF2-40B4-BE49-F238E27FC236}">
              <a16:creationId xmlns:a16="http://schemas.microsoft.com/office/drawing/2014/main" id="{2219AAF8-487F-594D-BD5F-908B868CB14E}"/>
            </a:ext>
          </a:extLst>
        </xdr:cNvPr>
        <xdr:cNvSpPr txBox="1"/>
      </xdr:nvSpPr>
      <xdr:spPr>
        <a:xfrm>
          <a:off x="15889225" y="4440492"/>
          <a:ext cx="544575" cy="4530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5</xdr:col>
      <xdr:colOff>161312</xdr:colOff>
      <xdr:row>11</xdr:row>
      <xdr:rowOff>121601</xdr:rowOff>
    </xdr:from>
    <xdr:to>
      <xdr:col>6</xdr:col>
      <xdr:colOff>241300</xdr:colOff>
      <xdr:row>13</xdr:row>
      <xdr:rowOff>63500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96DB135-0854-CA4F-9ED5-CC728BCAE507}"/>
            </a:ext>
          </a:extLst>
        </xdr:cNvPr>
        <xdr:cNvSpPr/>
      </xdr:nvSpPr>
      <xdr:spPr>
        <a:xfrm>
          <a:off x="16417312" y="3017201"/>
          <a:ext cx="448288" cy="44989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152400</xdr:colOff>
      <xdr:row>13</xdr:row>
      <xdr:rowOff>63500</xdr:rowOff>
    </xdr:from>
    <xdr:to>
      <xdr:col>6</xdr:col>
      <xdr:colOff>23506</xdr:colOff>
      <xdr:row>15</xdr:row>
      <xdr:rowOff>125333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8D14D8C-51D0-2847-A803-8B0233BF6D4C}"/>
            </a:ext>
          </a:extLst>
        </xdr:cNvPr>
        <xdr:cNvCxnSpPr>
          <a:cxnSpLocks/>
          <a:stCxn id="7" idx="4"/>
          <a:endCxn id="4" idx="0"/>
        </xdr:cNvCxnSpPr>
      </xdr:nvCxnSpPr>
      <xdr:spPr>
        <a:xfrm flipH="1">
          <a:off x="16027400" y="3467100"/>
          <a:ext cx="620406" cy="5571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200769</xdr:colOff>
      <xdr:row>9</xdr:row>
      <xdr:rowOff>221775</xdr:rowOff>
    </xdr:from>
    <xdr:to>
      <xdr:col>7</xdr:col>
      <xdr:colOff>23292</xdr:colOff>
      <xdr:row>11</xdr:row>
      <xdr:rowOff>166844</xdr:rowOff>
    </xdr:to>
    <xdr:sp macro="" textlink="">
      <xdr:nvSpPr>
        <xdr:cNvPr id="9" name="TextBox 36">
          <a:extLst>
            <a:ext uri="{FF2B5EF4-FFF2-40B4-BE49-F238E27FC236}">
              <a16:creationId xmlns:a16="http://schemas.microsoft.com/office/drawing/2014/main" id="{0815CE15-9EED-6442-A11E-B335E3936050}"/>
            </a:ext>
          </a:extLst>
        </xdr:cNvPr>
        <xdr:cNvSpPr txBox="1"/>
      </xdr:nvSpPr>
      <xdr:spPr>
        <a:xfrm>
          <a:off x="16456769" y="2545875"/>
          <a:ext cx="559123" cy="5165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5</xdr:col>
      <xdr:colOff>165101</xdr:colOff>
      <xdr:row>13</xdr:row>
      <xdr:rowOff>190500</xdr:rowOff>
    </xdr:from>
    <xdr:to>
      <xdr:col>7</xdr:col>
      <xdr:colOff>50801</xdr:colOff>
      <xdr:row>15</xdr:row>
      <xdr:rowOff>226953</xdr:rowOff>
    </xdr:to>
    <xdr:sp macro="" textlink="">
      <xdr:nvSpPr>
        <xdr:cNvPr id="10" name="TextBox 32">
          <a:extLst>
            <a:ext uri="{FF2B5EF4-FFF2-40B4-BE49-F238E27FC236}">
              <a16:creationId xmlns:a16="http://schemas.microsoft.com/office/drawing/2014/main" id="{8BA6D822-D3F9-BF43-896A-4DF290AF48EE}"/>
            </a:ext>
          </a:extLst>
        </xdr:cNvPr>
        <xdr:cNvSpPr txBox="1"/>
      </xdr:nvSpPr>
      <xdr:spPr>
        <a:xfrm>
          <a:off x="2425701" y="3517900"/>
          <a:ext cx="6096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10</xdr:col>
      <xdr:colOff>101600</xdr:colOff>
      <xdr:row>11</xdr:row>
      <xdr:rowOff>121356</xdr:rowOff>
    </xdr:from>
    <xdr:to>
      <xdr:col>11</xdr:col>
      <xdr:colOff>203200</xdr:colOff>
      <xdr:row>13</xdr:row>
      <xdr:rowOff>63500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A55C915-9C4F-5349-A265-CC5E9EEFCA91}"/>
            </a:ext>
          </a:extLst>
        </xdr:cNvPr>
        <xdr:cNvSpPr/>
      </xdr:nvSpPr>
      <xdr:spPr>
        <a:xfrm>
          <a:off x="1282700" y="2966156"/>
          <a:ext cx="469900" cy="42474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194083</xdr:colOff>
      <xdr:row>9</xdr:row>
      <xdr:rowOff>203200</xdr:rowOff>
    </xdr:from>
    <xdr:to>
      <xdr:col>12</xdr:col>
      <xdr:colOff>38100</xdr:colOff>
      <xdr:row>11</xdr:row>
      <xdr:rowOff>148269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0A262A-852F-0A46-8FC9-8B2EB2F9B89D}"/>
            </a:ext>
          </a:extLst>
        </xdr:cNvPr>
        <xdr:cNvSpPr txBox="1"/>
      </xdr:nvSpPr>
      <xdr:spPr>
        <a:xfrm>
          <a:off x="1375183" y="2527300"/>
          <a:ext cx="56791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11</xdr:col>
      <xdr:colOff>279400</xdr:colOff>
      <xdr:row>15</xdr:row>
      <xdr:rowOff>125333</xdr:rowOff>
    </xdr:from>
    <xdr:to>
      <xdr:col>13</xdr:col>
      <xdr:colOff>25400</xdr:colOff>
      <xdr:row>17</xdr:row>
      <xdr:rowOff>88900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9A24497-2324-7343-89C1-CB76400AB1E4}"/>
            </a:ext>
          </a:extLst>
        </xdr:cNvPr>
        <xdr:cNvSpPr/>
      </xdr:nvSpPr>
      <xdr:spPr>
        <a:xfrm>
          <a:off x="1828800" y="3935333"/>
          <a:ext cx="457200" cy="446167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323850</xdr:colOff>
      <xdr:row>13</xdr:row>
      <xdr:rowOff>63500</xdr:rowOff>
    </xdr:from>
    <xdr:to>
      <xdr:col>12</xdr:col>
      <xdr:colOff>152400</xdr:colOff>
      <xdr:row>15</xdr:row>
      <xdr:rowOff>125333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A511567-7848-714C-9808-65774809C1CF}"/>
            </a:ext>
          </a:extLst>
        </xdr:cNvPr>
        <xdr:cNvCxnSpPr>
          <a:cxnSpLocks/>
          <a:stCxn id="11" idx="4"/>
          <a:endCxn id="13" idx="0"/>
        </xdr:cNvCxnSpPr>
      </xdr:nvCxnSpPr>
      <xdr:spPr>
        <a:xfrm>
          <a:off x="1504950" y="3390900"/>
          <a:ext cx="552450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14225</xdr:colOff>
      <xdr:row>17</xdr:row>
      <xdr:rowOff>33592</xdr:rowOff>
    </xdr:from>
    <xdr:to>
      <xdr:col>13</xdr:col>
      <xdr:colOff>177800</xdr:colOff>
      <xdr:row>19</xdr:row>
      <xdr:rowOff>4061</xdr:rowOff>
    </xdr:to>
    <xdr:sp macro="" textlink="">
      <xdr:nvSpPr>
        <xdr:cNvPr id="15" name="TextBox 24">
          <a:extLst>
            <a:ext uri="{FF2B5EF4-FFF2-40B4-BE49-F238E27FC236}">
              <a16:creationId xmlns:a16="http://schemas.microsoft.com/office/drawing/2014/main" id="{8A7D5104-2166-2344-B2FA-7A8DCBD6F833}"/>
            </a:ext>
          </a:extLst>
        </xdr:cNvPr>
        <xdr:cNvSpPr txBox="1"/>
      </xdr:nvSpPr>
      <xdr:spPr>
        <a:xfrm>
          <a:off x="1919225" y="4326192"/>
          <a:ext cx="519175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13</xdr:col>
      <xdr:colOff>161312</xdr:colOff>
      <xdr:row>11</xdr:row>
      <xdr:rowOff>121601</xdr:rowOff>
    </xdr:from>
    <xdr:to>
      <xdr:col>14</xdr:col>
      <xdr:colOff>241300</xdr:colOff>
      <xdr:row>13</xdr:row>
      <xdr:rowOff>63500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B3D66D2-0BB5-FA4F-958D-9C49292E1515}"/>
            </a:ext>
          </a:extLst>
        </xdr:cNvPr>
        <xdr:cNvSpPr/>
      </xdr:nvSpPr>
      <xdr:spPr>
        <a:xfrm>
          <a:off x="2421912" y="2966401"/>
          <a:ext cx="460988" cy="42449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152400</xdr:colOff>
      <xdr:row>13</xdr:row>
      <xdr:rowOff>63500</xdr:rowOff>
    </xdr:from>
    <xdr:to>
      <xdr:col>14</xdr:col>
      <xdr:colOff>23506</xdr:colOff>
      <xdr:row>15</xdr:row>
      <xdr:rowOff>125333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3846FC4-C985-D74A-BE84-914DFA13EF54}"/>
            </a:ext>
          </a:extLst>
        </xdr:cNvPr>
        <xdr:cNvCxnSpPr>
          <a:cxnSpLocks/>
          <a:stCxn id="16" idx="4"/>
          <a:endCxn id="13" idx="0"/>
        </xdr:cNvCxnSpPr>
      </xdr:nvCxnSpPr>
      <xdr:spPr>
        <a:xfrm flipH="1">
          <a:off x="2057400" y="3390900"/>
          <a:ext cx="607706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200769</xdr:colOff>
      <xdr:row>9</xdr:row>
      <xdr:rowOff>221775</xdr:rowOff>
    </xdr:from>
    <xdr:to>
      <xdr:col>15</xdr:col>
      <xdr:colOff>23292</xdr:colOff>
      <xdr:row>11</xdr:row>
      <xdr:rowOff>166844</xdr:rowOff>
    </xdr:to>
    <xdr:sp macro="" textlink="">
      <xdr:nvSpPr>
        <xdr:cNvPr id="18" name="TextBox 36">
          <a:extLst>
            <a:ext uri="{FF2B5EF4-FFF2-40B4-BE49-F238E27FC236}">
              <a16:creationId xmlns:a16="http://schemas.microsoft.com/office/drawing/2014/main" id="{ECDDED50-E6E7-FF4A-B4E8-EFB1183B3F93}"/>
            </a:ext>
          </a:extLst>
        </xdr:cNvPr>
        <xdr:cNvSpPr txBox="1"/>
      </xdr:nvSpPr>
      <xdr:spPr>
        <a:xfrm>
          <a:off x="2461369" y="2545875"/>
          <a:ext cx="54642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11</xdr:col>
      <xdr:colOff>317501</xdr:colOff>
      <xdr:row>15</xdr:row>
      <xdr:rowOff>101600</xdr:rowOff>
    </xdr:from>
    <xdr:to>
      <xdr:col>13</xdr:col>
      <xdr:colOff>241301</xdr:colOff>
      <xdr:row>17</xdr:row>
      <xdr:rowOff>138053</xdr:rowOff>
    </xdr:to>
    <xdr:sp macro="" textlink="">
      <xdr:nvSpPr>
        <xdr:cNvPr id="19" name="TextBox 32">
          <a:extLst>
            <a:ext uri="{FF2B5EF4-FFF2-40B4-BE49-F238E27FC236}">
              <a16:creationId xmlns:a16="http://schemas.microsoft.com/office/drawing/2014/main" id="{6284AC53-8A0A-B949-A6AD-49D5C73857A4}"/>
            </a:ext>
          </a:extLst>
        </xdr:cNvPr>
        <xdr:cNvSpPr txBox="1"/>
      </xdr:nvSpPr>
      <xdr:spPr>
        <a:xfrm>
          <a:off x="5181601" y="39116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+?</a:t>
          </a:r>
        </a:p>
      </xdr:txBody>
    </xdr:sp>
    <xdr:clientData/>
  </xdr:twoCellAnchor>
  <xdr:twoCellAnchor>
    <xdr:from>
      <xdr:col>18</xdr:col>
      <xdr:colOff>101600</xdr:colOff>
      <xdr:row>11</xdr:row>
      <xdr:rowOff>121356</xdr:rowOff>
    </xdr:from>
    <xdr:to>
      <xdr:col>19</xdr:col>
      <xdr:colOff>203200</xdr:colOff>
      <xdr:row>13</xdr:row>
      <xdr:rowOff>63500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4E57ACE-7099-7543-A770-869C92CC483D}"/>
            </a:ext>
          </a:extLst>
        </xdr:cNvPr>
        <xdr:cNvSpPr/>
      </xdr:nvSpPr>
      <xdr:spPr>
        <a:xfrm>
          <a:off x="4584700" y="2966156"/>
          <a:ext cx="482600" cy="42474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194083</xdr:colOff>
      <xdr:row>9</xdr:row>
      <xdr:rowOff>203200</xdr:rowOff>
    </xdr:from>
    <xdr:to>
      <xdr:col>20</xdr:col>
      <xdr:colOff>38100</xdr:colOff>
      <xdr:row>11</xdr:row>
      <xdr:rowOff>148269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E2AB12C-1B06-8E43-9E34-4194BC22B59A}"/>
            </a:ext>
          </a:extLst>
        </xdr:cNvPr>
        <xdr:cNvSpPr txBox="1"/>
      </xdr:nvSpPr>
      <xdr:spPr>
        <a:xfrm>
          <a:off x="4677183" y="2527300"/>
          <a:ext cx="56791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19</xdr:col>
      <xdr:colOff>279400</xdr:colOff>
      <xdr:row>15</xdr:row>
      <xdr:rowOff>125333</xdr:rowOff>
    </xdr:from>
    <xdr:to>
      <xdr:col>21</xdr:col>
      <xdr:colOff>25400</xdr:colOff>
      <xdr:row>17</xdr:row>
      <xdr:rowOff>88900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6E14157-FF7A-B144-8714-C93949D20DF5}"/>
            </a:ext>
          </a:extLst>
        </xdr:cNvPr>
        <xdr:cNvSpPr/>
      </xdr:nvSpPr>
      <xdr:spPr>
        <a:xfrm>
          <a:off x="5143500" y="3935333"/>
          <a:ext cx="444500" cy="446167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323850</xdr:colOff>
      <xdr:row>13</xdr:row>
      <xdr:rowOff>63500</xdr:rowOff>
    </xdr:from>
    <xdr:to>
      <xdr:col>20</xdr:col>
      <xdr:colOff>152400</xdr:colOff>
      <xdr:row>15</xdr:row>
      <xdr:rowOff>125333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55F7EB8-ADD0-8B4F-906C-0AB38351F3DB}"/>
            </a:ext>
          </a:extLst>
        </xdr:cNvPr>
        <xdr:cNvCxnSpPr>
          <a:cxnSpLocks/>
          <a:stCxn id="20" idx="4"/>
          <a:endCxn id="22" idx="0"/>
        </xdr:cNvCxnSpPr>
      </xdr:nvCxnSpPr>
      <xdr:spPr>
        <a:xfrm>
          <a:off x="4806950" y="3390900"/>
          <a:ext cx="552450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14225</xdr:colOff>
      <xdr:row>17</xdr:row>
      <xdr:rowOff>33592</xdr:rowOff>
    </xdr:from>
    <xdr:to>
      <xdr:col>21</xdr:col>
      <xdr:colOff>177800</xdr:colOff>
      <xdr:row>19</xdr:row>
      <xdr:rowOff>4061</xdr:rowOff>
    </xdr:to>
    <xdr:sp macro="" textlink="">
      <xdr:nvSpPr>
        <xdr:cNvPr id="24" name="TextBox 24">
          <a:extLst>
            <a:ext uri="{FF2B5EF4-FFF2-40B4-BE49-F238E27FC236}">
              <a16:creationId xmlns:a16="http://schemas.microsoft.com/office/drawing/2014/main" id="{F3234D28-8758-6049-9EB2-DB2045B6475A}"/>
            </a:ext>
          </a:extLst>
        </xdr:cNvPr>
        <xdr:cNvSpPr txBox="1"/>
      </xdr:nvSpPr>
      <xdr:spPr>
        <a:xfrm>
          <a:off x="5221225" y="4326192"/>
          <a:ext cx="519175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21</xdr:col>
      <xdr:colOff>161312</xdr:colOff>
      <xdr:row>11</xdr:row>
      <xdr:rowOff>121601</xdr:rowOff>
    </xdr:from>
    <xdr:to>
      <xdr:col>22</xdr:col>
      <xdr:colOff>241300</xdr:colOff>
      <xdr:row>13</xdr:row>
      <xdr:rowOff>63500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6185A4B-D5F0-5D42-B535-013A31C561E3}"/>
            </a:ext>
          </a:extLst>
        </xdr:cNvPr>
        <xdr:cNvSpPr/>
      </xdr:nvSpPr>
      <xdr:spPr>
        <a:xfrm>
          <a:off x="5723912" y="2966401"/>
          <a:ext cx="448288" cy="42449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20</xdr:col>
      <xdr:colOff>152400</xdr:colOff>
      <xdr:row>13</xdr:row>
      <xdr:rowOff>63500</xdr:rowOff>
    </xdr:from>
    <xdr:to>
      <xdr:col>22</xdr:col>
      <xdr:colOff>23506</xdr:colOff>
      <xdr:row>15</xdr:row>
      <xdr:rowOff>125333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21009E7-1920-314C-9CCB-23DA009063B0}"/>
            </a:ext>
          </a:extLst>
        </xdr:cNvPr>
        <xdr:cNvCxnSpPr>
          <a:cxnSpLocks/>
          <a:stCxn id="25" idx="4"/>
          <a:endCxn id="22" idx="0"/>
        </xdr:cNvCxnSpPr>
      </xdr:nvCxnSpPr>
      <xdr:spPr>
        <a:xfrm flipH="1">
          <a:off x="5359400" y="3390900"/>
          <a:ext cx="595006" cy="54443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200769</xdr:colOff>
      <xdr:row>9</xdr:row>
      <xdr:rowOff>221775</xdr:rowOff>
    </xdr:from>
    <xdr:to>
      <xdr:col>23</xdr:col>
      <xdr:colOff>23292</xdr:colOff>
      <xdr:row>11</xdr:row>
      <xdr:rowOff>166844</xdr:rowOff>
    </xdr:to>
    <xdr:sp macro="" textlink="">
      <xdr:nvSpPr>
        <xdr:cNvPr id="27" name="TextBox 36">
          <a:extLst>
            <a:ext uri="{FF2B5EF4-FFF2-40B4-BE49-F238E27FC236}">
              <a16:creationId xmlns:a16="http://schemas.microsoft.com/office/drawing/2014/main" id="{7CAD27BA-042D-0549-8B9A-17C6EAA13BC7}"/>
            </a:ext>
          </a:extLst>
        </xdr:cNvPr>
        <xdr:cNvSpPr txBox="1"/>
      </xdr:nvSpPr>
      <xdr:spPr>
        <a:xfrm>
          <a:off x="5763369" y="2545875"/>
          <a:ext cx="55912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19</xdr:col>
      <xdr:colOff>317501</xdr:colOff>
      <xdr:row>15</xdr:row>
      <xdr:rowOff>101600</xdr:rowOff>
    </xdr:from>
    <xdr:to>
      <xdr:col>21</xdr:col>
      <xdr:colOff>241301</xdr:colOff>
      <xdr:row>17</xdr:row>
      <xdr:rowOff>138053</xdr:rowOff>
    </xdr:to>
    <xdr:sp macro="" textlink="">
      <xdr:nvSpPr>
        <xdr:cNvPr id="28" name="TextBox 32">
          <a:extLst>
            <a:ext uri="{FF2B5EF4-FFF2-40B4-BE49-F238E27FC236}">
              <a16:creationId xmlns:a16="http://schemas.microsoft.com/office/drawing/2014/main" id="{806AD900-6BCA-6649-95CC-2011B1DBE1AA}"/>
            </a:ext>
          </a:extLst>
        </xdr:cNvPr>
        <xdr:cNvSpPr txBox="1"/>
      </xdr:nvSpPr>
      <xdr:spPr>
        <a:xfrm>
          <a:off x="5181601" y="39116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+?</a:t>
          </a:r>
        </a:p>
      </xdr:txBody>
    </xdr:sp>
    <xdr:clientData/>
  </xdr:twoCellAnchor>
  <xdr:twoCellAnchor>
    <xdr:from>
      <xdr:col>26</xdr:col>
      <xdr:colOff>131041</xdr:colOff>
      <xdr:row>12</xdr:row>
      <xdr:rowOff>116739</xdr:rowOff>
    </xdr:from>
    <xdr:to>
      <xdr:col>27</xdr:col>
      <xdr:colOff>229022</xdr:colOff>
      <xdr:row>14</xdr:row>
      <xdr:rowOff>19117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DECC8B6-A458-014A-B40E-EEE201B73F19}"/>
            </a:ext>
          </a:extLst>
        </xdr:cNvPr>
        <xdr:cNvSpPr/>
      </xdr:nvSpPr>
      <xdr:spPr>
        <a:xfrm>
          <a:off x="7852641" y="3190139"/>
          <a:ext cx="453581" cy="3849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26</xdr:col>
      <xdr:colOff>229298</xdr:colOff>
      <xdr:row>11</xdr:row>
      <xdr:rowOff>0</xdr:rowOff>
    </xdr:from>
    <xdr:to>
      <xdr:col>28</xdr:col>
      <xdr:colOff>60848</xdr:colOff>
      <xdr:row>12</xdr:row>
      <xdr:rowOff>188679</xdr:rowOff>
    </xdr:to>
    <xdr:sp macro="" textlink="">
      <xdr:nvSpPr>
        <xdr:cNvPr id="30" name="TextBox 10">
          <a:extLst>
            <a:ext uri="{FF2B5EF4-FFF2-40B4-BE49-F238E27FC236}">
              <a16:creationId xmlns:a16="http://schemas.microsoft.com/office/drawing/2014/main" id="{2E5F1604-51A9-4A41-9D8F-380B8CB8C3D1}"/>
            </a:ext>
          </a:extLst>
        </xdr:cNvPr>
        <xdr:cNvSpPr txBox="1"/>
      </xdr:nvSpPr>
      <xdr:spPr>
        <a:xfrm>
          <a:off x="7950898" y="2794000"/>
          <a:ext cx="530050" cy="46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27</xdr:col>
      <xdr:colOff>1077</xdr:colOff>
      <xdr:row>14</xdr:row>
      <xdr:rowOff>19117</xdr:rowOff>
    </xdr:from>
    <xdr:to>
      <xdr:col>27</xdr:col>
      <xdr:colOff>8582</xdr:colOff>
      <xdr:row>16</xdr:row>
      <xdr:rowOff>202686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E97D4A4-690A-9F46-8525-6439F0CACB56}"/>
            </a:ext>
          </a:extLst>
        </xdr:cNvPr>
        <xdr:cNvCxnSpPr>
          <a:cxnSpLocks/>
          <a:stCxn id="29" idx="4"/>
          <a:endCxn id="35" idx="0"/>
        </xdr:cNvCxnSpPr>
      </xdr:nvCxnSpPr>
      <xdr:spPr>
        <a:xfrm>
          <a:off x="8078277" y="3575117"/>
          <a:ext cx="7505" cy="66616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133026</xdr:colOff>
      <xdr:row>12</xdr:row>
      <xdr:rowOff>119294</xdr:rowOff>
    </xdr:from>
    <xdr:to>
      <xdr:col>30</xdr:col>
      <xdr:colOff>231006</xdr:colOff>
      <xdr:row>14</xdr:row>
      <xdr:rowOff>21672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0753FA2-6600-7649-BEDC-4E24CB46F6DF}"/>
            </a:ext>
          </a:extLst>
        </xdr:cNvPr>
        <xdr:cNvSpPr/>
      </xdr:nvSpPr>
      <xdr:spPr>
        <a:xfrm>
          <a:off x="8908726" y="3192694"/>
          <a:ext cx="453580" cy="3849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27</xdr:col>
      <xdr:colOff>8582</xdr:colOff>
      <xdr:row>14</xdr:row>
      <xdr:rowOff>21672</xdr:rowOff>
    </xdr:from>
    <xdr:to>
      <xdr:col>30</xdr:col>
      <xdr:colOff>3062</xdr:colOff>
      <xdr:row>16</xdr:row>
      <xdr:rowOff>202686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9E903AD-45B6-D347-BC15-BB44B378983D}"/>
            </a:ext>
          </a:extLst>
        </xdr:cNvPr>
        <xdr:cNvCxnSpPr>
          <a:cxnSpLocks/>
          <a:stCxn id="32" idx="4"/>
          <a:endCxn id="35" idx="0"/>
        </xdr:cNvCxnSpPr>
      </xdr:nvCxnSpPr>
      <xdr:spPr>
        <a:xfrm flipH="1">
          <a:off x="8085782" y="3577672"/>
          <a:ext cx="1048580" cy="66361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230211</xdr:colOff>
      <xdr:row>10</xdr:row>
      <xdr:rowOff>271421</xdr:rowOff>
    </xdr:from>
    <xdr:to>
      <xdr:col>31</xdr:col>
      <xdr:colOff>61761</xdr:colOff>
      <xdr:row>12</xdr:row>
      <xdr:rowOff>183009</xdr:rowOff>
    </xdr:to>
    <xdr:sp macro="" textlink="">
      <xdr:nvSpPr>
        <xdr:cNvPr id="34" name="TextBox 36">
          <a:extLst>
            <a:ext uri="{FF2B5EF4-FFF2-40B4-BE49-F238E27FC236}">
              <a16:creationId xmlns:a16="http://schemas.microsoft.com/office/drawing/2014/main" id="{D4D0B4CB-578B-1940-9D16-FFDAAC64BF25}"/>
            </a:ext>
          </a:extLst>
        </xdr:cNvPr>
        <xdr:cNvSpPr txBox="1"/>
      </xdr:nvSpPr>
      <xdr:spPr>
        <a:xfrm>
          <a:off x="9005911" y="2773321"/>
          <a:ext cx="530050" cy="4830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26</xdr:col>
      <xdr:colOff>138546</xdr:colOff>
      <xdr:row>16</xdr:row>
      <xdr:rowOff>202686</xdr:rowOff>
    </xdr:from>
    <xdr:to>
      <xdr:col>27</xdr:col>
      <xdr:colOff>236527</xdr:colOff>
      <xdr:row>18</xdr:row>
      <xdr:rowOff>105065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332E1-9C51-D545-96F7-AF90A4CAC5B6}"/>
            </a:ext>
          </a:extLst>
        </xdr:cNvPr>
        <xdr:cNvSpPr/>
      </xdr:nvSpPr>
      <xdr:spPr>
        <a:xfrm>
          <a:off x="7860146" y="4241286"/>
          <a:ext cx="453581" cy="38497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26</xdr:col>
      <xdr:colOff>225964</xdr:colOff>
      <xdr:row>18</xdr:row>
      <xdr:rowOff>46292</xdr:rowOff>
    </xdr:from>
    <xdr:to>
      <xdr:col>28</xdr:col>
      <xdr:colOff>17497</xdr:colOff>
      <xdr:row>20</xdr:row>
      <xdr:rowOff>15607</xdr:rowOff>
    </xdr:to>
    <xdr:sp macro="" textlink="">
      <xdr:nvSpPr>
        <xdr:cNvPr id="36" name="TextBox 17">
          <a:extLst>
            <a:ext uri="{FF2B5EF4-FFF2-40B4-BE49-F238E27FC236}">
              <a16:creationId xmlns:a16="http://schemas.microsoft.com/office/drawing/2014/main" id="{C12ABA64-C3BE-A945-B014-0F66BE461094}"/>
            </a:ext>
          </a:extLst>
        </xdr:cNvPr>
        <xdr:cNvSpPr txBox="1"/>
      </xdr:nvSpPr>
      <xdr:spPr>
        <a:xfrm>
          <a:off x="7947564" y="4567492"/>
          <a:ext cx="490033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29</xdr:col>
      <xdr:colOff>138545</xdr:colOff>
      <xdr:row>16</xdr:row>
      <xdr:rowOff>202688</xdr:rowOff>
    </xdr:from>
    <xdr:to>
      <xdr:col>30</xdr:col>
      <xdr:colOff>233593</xdr:colOff>
      <xdr:row>18</xdr:row>
      <xdr:rowOff>105067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F0552E8-1F3A-F443-ABC9-14562D29D303}"/>
            </a:ext>
          </a:extLst>
        </xdr:cNvPr>
        <xdr:cNvSpPr/>
      </xdr:nvSpPr>
      <xdr:spPr>
        <a:xfrm>
          <a:off x="8914245" y="4241288"/>
          <a:ext cx="450648" cy="38497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243103</xdr:colOff>
      <xdr:row>18</xdr:row>
      <xdr:rowOff>57837</xdr:rowOff>
    </xdr:from>
    <xdr:to>
      <xdr:col>31</xdr:col>
      <xdr:colOff>34636</xdr:colOff>
      <xdr:row>20</xdr:row>
      <xdr:rowOff>27152</xdr:rowOff>
    </xdr:to>
    <xdr:sp macro="" textlink="">
      <xdr:nvSpPr>
        <xdr:cNvPr id="38" name="TextBox 22">
          <a:extLst>
            <a:ext uri="{FF2B5EF4-FFF2-40B4-BE49-F238E27FC236}">
              <a16:creationId xmlns:a16="http://schemas.microsoft.com/office/drawing/2014/main" id="{E2804C3B-1581-154F-9595-C99FDCDFFBD5}"/>
            </a:ext>
          </a:extLst>
        </xdr:cNvPr>
        <xdr:cNvSpPr txBox="1"/>
      </xdr:nvSpPr>
      <xdr:spPr>
        <a:xfrm>
          <a:off x="9018803" y="4579037"/>
          <a:ext cx="490033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30</xdr:col>
      <xdr:colOff>3062</xdr:colOff>
      <xdr:row>14</xdr:row>
      <xdr:rowOff>21672</xdr:rowOff>
    </xdr:from>
    <xdr:to>
      <xdr:col>30</xdr:col>
      <xdr:colOff>7115</xdr:colOff>
      <xdr:row>16</xdr:row>
      <xdr:rowOff>202688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647057A-EB40-2C4B-8DCA-10A8748B9591}"/>
            </a:ext>
          </a:extLst>
        </xdr:cNvPr>
        <xdr:cNvCxnSpPr>
          <a:cxnSpLocks/>
          <a:stCxn id="32" idx="4"/>
          <a:endCxn id="37" idx="0"/>
        </xdr:cNvCxnSpPr>
      </xdr:nvCxnSpPr>
      <xdr:spPr>
        <a:xfrm>
          <a:off x="9134362" y="3577672"/>
          <a:ext cx="4053" cy="66361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1077</xdr:colOff>
      <xdr:row>14</xdr:row>
      <xdr:rowOff>19117</xdr:rowOff>
    </xdr:from>
    <xdr:to>
      <xdr:col>30</xdr:col>
      <xdr:colOff>7115</xdr:colOff>
      <xdr:row>16</xdr:row>
      <xdr:rowOff>202688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064008E-E57C-7444-B282-E032C657EC69}"/>
            </a:ext>
          </a:extLst>
        </xdr:cNvPr>
        <xdr:cNvCxnSpPr>
          <a:cxnSpLocks/>
          <a:stCxn id="29" idx="4"/>
          <a:endCxn id="37" idx="0"/>
        </xdr:cNvCxnSpPr>
      </xdr:nvCxnSpPr>
      <xdr:spPr>
        <a:xfrm>
          <a:off x="8078277" y="3575117"/>
          <a:ext cx="1060138" cy="66617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177800</xdr:colOff>
      <xdr:row>14</xdr:row>
      <xdr:rowOff>101600</xdr:rowOff>
    </xdr:from>
    <xdr:to>
      <xdr:col>27</xdr:col>
      <xdr:colOff>25400</xdr:colOff>
      <xdr:row>16</xdr:row>
      <xdr:rowOff>138053</xdr:rowOff>
    </xdr:to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24E20100-190B-084F-AE19-4120A667018E}"/>
            </a:ext>
          </a:extLst>
        </xdr:cNvPr>
        <xdr:cNvSpPr txBox="1"/>
      </xdr:nvSpPr>
      <xdr:spPr>
        <a:xfrm>
          <a:off x="11049000" y="37592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34</xdr:col>
      <xdr:colOff>131041</xdr:colOff>
      <xdr:row>12</xdr:row>
      <xdr:rowOff>116739</xdr:rowOff>
    </xdr:from>
    <xdr:to>
      <xdr:col>35</xdr:col>
      <xdr:colOff>229022</xdr:colOff>
      <xdr:row>14</xdr:row>
      <xdr:rowOff>19117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8C6A5973-8E49-7048-99F6-440E596D4C2E}"/>
            </a:ext>
          </a:extLst>
        </xdr:cNvPr>
        <xdr:cNvSpPr/>
      </xdr:nvSpPr>
      <xdr:spPr>
        <a:xfrm>
          <a:off x="11078441" y="3190139"/>
          <a:ext cx="428181" cy="3849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229298</xdr:colOff>
      <xdr:row>11</xdr:row>
      <xdr:rowOff>0</xdr:rowOff>
    </xdr:from>
    <xdr:to>
      <xdr:col>36</xdr:col>
      <xdr:colOff>60848</xdr:colOff>
      <xdr:row>12</xdr:row>
      <xdr:rowOff>188679</xdr:rowOff>
    </xdr:to>
    <xdr:sp macro="" textlink="">
      <xdr:nvSpPr>
        <xdr:cNvPr id="43" name="TextBox 10">
          <a:extLst>
            <a:ext uri="{FF2B5EF4-FFF2-40B4-BE49-F238E27FC236}">
              <a16:creationId xmlns:a16="http://schemas.microsoft.com/office/drawing/2014/main" id="{49CEC6B2-0DAD-6540-813B-B84DD5572EEA}"/>
            </a:ext>
          </a:extLst>
        </xdr:cNvPr>
        <xdr:cNvSpPr txBox="1"/>
      </xdr:nvSpPr>
      <xdr:spPr>
        <a:xfrm>
          <a:off x="11176698" y="2794000"/>
          <a:ext cx="517350" cy="46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35</xdr:col>
      <xdr:colOff>1077</xdr:colOff>
      <xdr:row>14</xdr:row>
      <xdr:rowOff>19117</xdr:rowOff>
    </xdr:from>
    <xdr:to>
      <xdr:col>35</xdr:col>
      <xdr:colOff>8582</xdr:colOff>
      <xdr:row>16</xdr:row>
      <xdr:rowOff>202686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D0C30F3A-7B7E-314B-A280-C7ED85B56202}"/>
            </a:ext>
          </a:extLst>
        </xdr:cNvPr>
        <xdr:cNvCxnSpPr>
          <a:cxnSpLocks/>
          <a:stCxn id="42" idx="4"/>
          <a:endCxn id="48" idx="0"/>
        </xdr:cNvCxnSpPr>
      </xdr:nvCxnSpPr>
      <xdr:spPr>
        <a:xfrm>
          <a:off x="11278677" y="3575117"/>
          <a:ext cx="7505" cy="66616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133026</xdr:colOff>
      <xdr:row>12</xdr:row>
      <xdr:rowOff>119294</xdr:rowOff>
    </xdr:from>
    <xdr:to>
      <xdr:col>38</xdr:col>
      <xdr:colOff>231006</xdr:colOff>
      <xdr:row>14</xdr:row>
      <xdr:rowOff>21672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5CB35462-73DE-3144-8B4D-92A7636E1971}"/>
            </a:ext>
          </a:extLst>
        </xdr:cNvPr>
        <xdr:cNvSpPr/>
      </xdr:nvSpPr>
      <xdr:spPr>
        <a:xfrm>
          <a:off x="12134526" y="3192694"/>
          <a:ext cx="440880" cy="3849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35</xdr:col>
      <xdr:colOff>8582</xdr:colOff>
      <xdr:row>14</xdr:row>
      <xdr:rowOff>21672</xdr:rowOff>
    </xdr:from>
    <xdr:to>
      <xdr:col>38</xdr:col>
      <xdr:colOff>3062</xdr:colOff>
      <xdr:row>16</xdr:row>
      <xdr:rowOff>202686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110C11D-7CC8-8E44-A366-8638047886AF}"/>
            </a:ext>
          </a:extLst>
        </xdr:cNvPr>
        <xdr:cNvCxnSpPr>
          <a:cxnSpLocks/>
          <a:stCxn id="45" idx="4"/>
          <a:endCxn id="48" idx="0"/>
        </xdr:cNvCxnSpPr>
      </xdr:nvCxnSpPr>
      <xdr:spPr>
        <a:xfrm flipH="1">
          <a:off x="11286182" y="3577672"/>
          <a:ext cx="1061280" cy="66361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230211</xdr:colOff>
      <xdr:row>10</xdr:row>
      <xdr:rowOff>271421</xdr:rowOff>
    </xdr:from>
    <xdr:to>
      <xdr:col>39</xdr:col>
      <xdr:colOff>61761</xdr:colOff>
      <xdr:row>12</xdr:row>
      <xdr:rowOff>183009</xdr:rowOff>
    </xdr:to>
    <xdr:sp macro="" textlink="">
      <xdr:nvSpPr>
        <xdr:cNvPr id="47" name="TextBox 36">
          <a:extLst>
            <a:ext uri="{FF2B5EF4-FFF2-40B4-BE49-F238E27FC236}">
              <a16:creationId xmlns:a16="http://schemas.microsoft.com/office/drawing/2014/main" id="{A7DE91DD-D872-5F48-A41B-481529E6B55A}"/>
            </a:ext>
          </a:extLst>
        </xdr:cNvPr>
        <xdr:cNvSpPr txBox="1"/>
      </xdr:nvSpPr>
      <xdr:spPr>
        <a:xfrm>
          <a:off x="12231711" y="2773321"/>
          <a:ext cx="517350" cy="4830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34</xdr:col>
      <xdr:colOff>138546</xdr:colOff>
      <xdr:row>16</xdr:row>
      <xdr:rowOff>202686</xdr:rowOff>
    </xdr:from>
    <xdr:to>
      <xdr:col>35</xdr:col>
      <xdr:colOff>236527</xdr:colOff>
      <xdr:row>18</xdr:row>
      <xdr:rowOff>105065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57F726D9-7D38-A648-83C4-1AE34C4F43ED}"/>
            </a:ext>
          </a:extLst>
        </xdr:cNvPr>
        <xdr:cNvSpPr/>
      </xdr:nvSpPr>
      <xdr:spPr>
        <a:xfrm>
          <a:off x="11085946" y="4241286"/>
          <a:ext cx="428181" cy="38497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34</xdr:col>
      <xdr:colOff>225964</xdr:colOff>
      <xdr:row>18</xdr:row>
      <xdr:rowOff>46292</xdr:rowOff>
    </xdr:from>
    <xdr:to>
      <xdr:col>36</xdr:col>
      <xdr:colOff>17497</xdr:colOff>
      <xdr:row>20</xdr:row>
      <xdr:rowOff>15607</xdr:rowOff>
    </xdr:to>
    <xdr:sp macro="" textlink="">
      <xdr:nvSpPr>
        <xdr:cNvPr id="49" name="TextBox 17">
          <a:extLst>
            <a:ext uri="{FF2B5EF4-FFF2-40B4-BE49-F238E27FC236}">
              <a16:creationId xmlns:a16="http://schemas.microsoft.com/office/drawing/2014/main" id="{18EB48FB-B5C9-6545-9F51-6F3CB03DC154}"/>
            </a:ext>
          </a:extLst>
        </xdr:cNvPr>
        <xdr:cNvSpPr txBox="1"/>
      </xdr:nvSpPr>
      <xdr:spPr>
        <a:xfrm>
          <a:off x="11173364" y="4567492"/>
          <a:ext cx="477333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37</xdr:col>
      <xdr:colOff>138545</xdr:colOff>
      <xdr:row>16</xdr:row>
      <xdr:rowOff>202688</xdr:rowOff>
    </xdr:from>
    <xdr:to>
      <xdr:col>38</xdr:col>
      <xdr:colOff>233593</xdr:colOff>
      <xdr:row>18</xdr:row>
      <xdr:rowOff>105067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2B0C01A-1BA4-1444-8BE9-FDA3A8338F92}"/>
            </a:ext>
          </a:extLst>
        </xdr:cNvPr>
        <xdr:cNvSpPr/>
      </xdr:nvSpPr>
      <xdr:spPr>
        <a:xfrm>
          <a:off x="12140045" y="4241288"/>
          <a:ext cx="437948" cy="38497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37</xdr:col>
      <xdr:colOff>243103</xdr:colOff>
      <xdr:row>18</xdr:row>
      <xdr:rowOff>57837</xdr:rowOff>
    </xdr:from>
    <xdr:to>
      <xdr:col>39</xdr:col>
      <xdr:colOff>34636</xdr:colOff>
      <xdr:row>20</xdr:row>
      <xdr:rowOff>27152</xdr:rowOff>
    </xdr:to>
    <xdr:sp macro="" textlink="">
      <xdr:nvSpPr>
        <xdr:cNvPr id="51" name="TextBox 22">
          <a:extLst>
            <a:ext uri="{FF2B5EF4-FFF2-40B4-BE49-F238E27FC236}">
              <a16:creationId xmlns:a16="http://schemas.microsoft.com/office/drawing/2014/main" id="{484AA6FB-D1F4-6346-99A5-BB71D9052529}"/>
            </a:ext>
          </a:extLst>
        </xdr:cNvPr>
        <xdr:cNvSpPr txBox="1"/>
      </xdr:nvSpPr>
      <xdr:spPr>
        <a:xfrm>
          <a:off x="12244603" y="4579037"/>
          <a:ext cx="477333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38</xdr:col>
      <xdr:colOff>3062</xdr:colOff>
      <xdr:row>14</xdr:row>
      <xdr:rowOff>21672</xdr:rowOff>
    </xdr:from>
    <xdr:to>
      <xdr:col>38</xdr:col>
      <xdr:colOff>7115</xdr:colOff>
      <xdr:row>16</xdr:row>
      <xdr:rowOff>202688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833AE3E-511A-0246-A6C5-49FF0A74BCD0}"/>
            </a:ext>
          </a:extLst>
        </xdr:cNvPr>
        <xdr:cNvCxnSpPr>
          <a:cxnSpLocks/>
          <a:stCxn id="45" idx="4"/>
          <a:endCxn id="50" idx="0"/>
        </xdr:cNvCxnSpPr>
      </xdr:nvCxnSpPr>
      <xdr:spPr>
        <a:xfrm>
          <a:off x="12347462" y="3577672"/>
          <a:ext cx="4053" cy="66361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1077</xdr:colOff>
      <xdr:row>14</xdr:row>
      <xdr:rowOff>19117</xdr:rowOff>
    </xdr:from>
    <xdr:to>
      <xdr:col>38</xdr:col>
      <xdr:colOff>7115</xdr:colOff>
      <xdr:row>16</xdr:row>
      <xdr:rowOff>202688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7919179-9FC2-2F43-9759-F258CB302FF6}"/>
            </a:ext>
          </a:extLst>
        </xdr:cNvPr>
        <xdr:cNvCxnSpPr>
          <a:cxnSpLocks/>
          <a:stCxn id="42" idx="4"/>
          <a:endCxn id="50" idx="0"/>
        </xdr:cNvCxnSpPr>
      </xdr:nvCxnSpPr>
      <xdr:spPr>
        <a:xfrm>
          <a:off x="11278677" y="3575117"/>
          <a:ext cx="1072838" cy="66617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14</xdr:row>
      <xdr:rowOff>152400</xdr:rowOff>
    </xdr:from>
    <xdr:to>
      <xdr:col>39</xdr:col>
      <xdr:colOff>279400</xdr:colOff>
      <xdr:row>16</xdr:row>
      <xdr:rowOff>188853</xdr:rowOff>
    </xdr:to>
    <xdr:sp macro="" textlink="">
      <xdr:nvSpPr>
        <xdr:cNvPr id="54" name="TextBox 32">
          <a:extLst>
            <a:ext uri="{FF2B5EF4-FFF2-40B4-BE49-F238E27FC236}">
              <a16:creationId xmlns:a16="http://schemas.microsoft.com/office/drawing/2014/main" id="{A293ED36-0A76-CF41-A79A-7101C5E2E3C7}"/>
            </a:ext>
          </a:extLst>
        </xdr:cNvPr>
        <xdr:cNvSpPr txBox="1"/>
      </xdr:nvSpPr>
      <xdr:spPr>
        <a:xfrm>
          <a:off x="16421100" y="3810000"/>
          <a:ext cx="6096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131041</xdr:colOff>
      <xdr:row>12</xdr:row>
      <xdr:rowOff>116739</xdr:rowOff>
    </xdr:from>
    <xdr:to>
      <xdr:col>3</xdr:col>
      <xdr:colOff>229022</xdr:colOff>
      <xdr:row>14</xdr:row>
      <xdr:rowOff>19117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7DD13E1-630D-E34E-A25A-747A6ACB350C}"/>
            </a:ext>
          </a:extLst>
        </xdr:cNvPr>
        <xdr:cNvSpPr/>
      </xdr:nvSpPr>
      <xdr:spPr>
        <a:xfrm>
          <a:off x="14888441" y="3291739"/>
          <a:ext cx="542481" cy="3849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229298</xdr:colOff>
      <xdr:row>11</xdr:row>
      <xdr:rowOff>0</xdr:rowOff>
    </xdr:from>
    <xdr:to>
      <xdr:col>4</xdr:col>
      <xdr:colOff>60848</xdr:colOff>
      <xdr:row>12</xdr:row>
      <xdr:rowOff>188679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FF3A6AC9-D39C-F748-B999-EB97F5AE7587}"/>
            </a:ext>
          </a:extLst>
        </xdr:cNvPr>
        <xdr:cNvSpPr txBox="1"/>
      </xdr:nvSpPr>
      <xdr:spPr>
        <a:xfrm>
          <a:off x="14986698" y="2895600"/>
          <a:ext cx="682450" cy="46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</xdr:col>
      <xdr:colOff>1077</xdr:colOff>
      <xdr:row>14</xdr:row>
      <xdr:rowOff>19117</xdr:rowOff>
    </xdr:from>
    <xdr:to>
      <xdr:col>3</xdr:col>
      <xdr:colOff>8582</xdr:colOff>
      <xdr:row>16</xdr:row>
      <xdr:rowOff>202686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2388E66-5C25-0743-8B72-3F1D17DA0368}"/>
            </a:ext>
          </a:extLst>
        </xdr:cNvPr>
        <xdr:cNvCxnSpPr>
          <a:cxnSpLocks/>
          <a:stCxn id="2" idx="4"/>
          <a:endCxn id="8" idx="0"/>
        </xdr:cNvCxnSpPr>
      </xdr:nvCxnSpPr>
      <xdr:spPr>
        <a:xfrm>
          <a:off x="15202977" y="3676717"/>
          <a:ext cx="7505" cy="66616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133026</xdr:colOff>
      <xdr:row>12</xdr:row>
      <xdr:rowOff>119294</xdr:rowOff>
    </xdr:from>
    <xdr:to>
      <xdr:col>6</xdr:col>
      <xdr:colOff>231006</xdr:colOff>
      <xdr:row>14</xdr:row>
      <xdr:rowOff>21672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E41BB46-3B66-BD4F-8A71-B272912E04D4}"/>
            </a:ext>
          </a:extLst>
        </xdr:cNvPr>
        <xdr:cNvSpPr/>
      </xdr:nvSpPr>
      <xdr:spPr>
        <a:xfrm>
          <a:off x="16135026" y="3294294"/>
          <a:ext cx="478980" cy="3849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8582</xdr:colOff>
      <xdr:row>14</xdr:row>
      <xdr:rowOff>21672</xdr:rowOff>
    </xdr:from>
    <xdr:to>
      <xdr:col>6</xdr:col>
      <xdr:colOff>3062</xdr:colOff>
      <xdr:row>16</xdr:row>
      <xdr:rowOff>202686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A8B5257-84BB-3648-81A5-75F8DE49229E}"/>
            </a:ext>
          </a:extLst>
        </xdr:cNvPr>
        <xdr:cNvCxnSpPr>
          <a:cxnSpLocks/>
          <a:stCxn id="5" idx="4"/>
          <a:endCxn id="8" idx="0"/>
        </xdr:cNvCxnSpPr>
      </xdr:nvCxnSpPr>
      <xdr:spPr>
        <a:xfrm flipH="1">
          <a:off x="15210482" y="3679272"/>
          <a:ext cx="1175580" cy="66361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230211</xdr:colOff>
      <xdr:row>10</xdr:row>
      <xdr:rowOff>271421</xdr:rowOff>
    </xdr:from>
    <xdr:to>
      <xdr:col>7</xdr:col>
      <xdr:colOff>61761</xdr:colOff>
      <xdr:row>12</xdr:row>
      <xdr:rowOff>183009</xdr:rowOff>
    </xdr:to>
    <xdr:sp macro="" textlink="">
      <xdr:nvSpPr>
        <xdr:cNvPr id="7" name="TextBox 36">
          <a:extLst>
            <a:ext uri="{FF2B5EF4-FFF2-40B4-BE49-F238E27FC236}">
              <a16:creationId xmlns:a16="http://schemas.microsoft.com/office/drawing/2014/main" id="{5B0484AB-D9A4-754D-A5B4-D15328315CAB}"/>
            </a:ext>
          </a:extLst>
        </xdr:cNvPr>
        <xdr:cNvSpPr txBox="1"/>
      </xdr:nvSpPr>
      <xdr:spPr>
        <a:xfrm>
          <a:off x="16232211" y="2887621"/>
          <a:ext cx="580850" cy="4703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</xdr:col>
      <xdr:colOff>138546</xdr:colOff>
      <xdr:row>16</xdr:row>
      <xdr:rowOff>202686</xdr:rowOff>
    </xdr:from>
    <xdr:to>
      <xdr:col>3</xdr:col>
      <xdr:colOff>236527</xdr:colOff>
      <xdr:row>18</xdr:row>
      <xdr:rowOff>105065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555032B-EB45-D04C-8DD2-5C70FD0594E1}"/>
            </a:ext>
          </a:extLst>
        </xdr:cNvPr>
        <xdr:cNvSpPr/>
      </xdr:nvSpPr>
      <xdr:spPr>
        <a:xfrm>
          <a:off x="14895946" y="4342886"/>
          <a:ext cx="542481" cy="38497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</xdr:col>
      <xdr:colOff>225964</xdr:colOff>
      <xdr:row>18</xdr:row>
      <xdr:rowOff>46292</xdr:rowOff>
    </xdr:from>
    <xdr:to>
      <xdr:col>4</xdr:col>
      <xdr:colOff>17497</xdr:colOff>
      <xdr:row>20</xdr:row>
      <xdr:rowOff>15607</xdr:rowOff>
    </xdr:to>
    <xdr:sp macro="" textlink="">
      <xdr:nvSpPr>
        <xdr:cNvPr id="9" name="TextBox 17">
          <a:extLst>
            <a:ext uri="{FF2B5EF4-FFF2-40B4-BE49-F238E27FC236}">
              <a16:creationId xmlns:a16="http://schemas.microsoft.com/office/drawing/2014/main" id="{A66DC178-4621-E14F-94AF-E3B645A86B41}"/>
            </a:ext>
          </a:extLst>
        </xdr:cNvPr>
        <xdr:cNvSpPr txBox="1"/>
      </xdr:nvSpPr>
      <xdr:spPr>
        <a:xfrm>
          <a:off x="14983364" y="4669092"/>
          <a:ext cx="642433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5</xdr:col>
      <xdr:colOff>138545</xdr:colOff>
      <xdr:row>16</xdr:row>
      <xdr:rowOff>202688</xdr:rowOff>
    </xdr:from>
    <xdr:to>
      <xdr:col>6</xdr:col>
      <xdr:colOff>233593</xdr:colOff>
      <xdr:row>18</xdr:row>
      <xdr:rowOff>105067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33FE556-837D-BA4F-BA65-93349F3416A0}"/>
            </a:ext>
          </a:extLst>
        </xdr:cNvPr>
        <xdr:cNvSpPr/>
      </xdr:nvSpPr>
      <xdr:spPr>
        <a:xfrm>
          <a:off x="16140545" y="4342888"/>
          <a:ext cx="476048" cy="38497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243103</xdr:colOff>
      <xdr:row>18</xdr:row>
      <xdr:rowOff>57837</xdr:rowOff>
    </xdr:from>
    <xdr:to>
      <xdr:col>7</xdr:col>
      <xdr:colOff>34636</xdr:colOff>
      <xdr:row>20</xdr:row>
      <xdr:rowOff>27152</xdr:rowOff>
    </xdr:to>
    <xdr:sp macro="" textlink="">
      <xdr:nvSpPr>
        <xdr:cNvPr id="11" name="TextBox 22">
          <a:extLst>
            <a:ext uri="{FF2B5EF4-FFF2-40B4-BE49-F238E27FC236}">
              <a16:creationId xmlns:a16="http://schemas.microsoft.com/office/drawing/2014/main" id="{443309C6-C86F-8344-B2F4-3DA099C2C8E8}"/>
            </a:ext>
          </a:extLst>
        </xdr:cNvPr>
        <xdr:cNvSpPr txBox="1"/>
      </xdr:nvSpPr>
      <xdr:spPr>
        <a:xfrm>
          <a:off x="16245103" y="4680637"/>
          <a:ext cx="540833" cy="4773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6</xdr:col>
      <xdr:colOff>3062</xdr:colOff>
      <xdr:row>14</xdr:row>
      <xdr:rowOff>21672</xdr:rowOff>
    </xdr:from>
    <xdr:to>
      <xdr:col>6</xdr:col>
      <xdr:colOff>7115</xdr:colOff>
      <xdr:row>16</xdr:row>
      <xdr:rowOff>202688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9BB48AA-898B-2349-B6DF-BF6E0917396F}"/>
            </a:ext>
          </a:extLst>
        </xdr:cNvPr>
        <xdr:cNvCxnSpPr>
          <a:cxnSpLocks/>
          <a:stCxn id="5" idx="4"/>
          <a:endCxn id="10" idx="0"/>
        </xdr:cNvCxnSpPr>
      </xdr:nvCxnSpPr>
      <xdr:spPr>
        <a:xfrm>
          <a:off x="16386062" y="3679272"/>
          <a:ext cx="4053" cy="66361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1077</xdr:colOff>
      <xdr:row>14</xdr:row>
      <xdr:rowOff>19117</xdr:rowOff>
    </xdr:from>
    <xdr:to>
      <xdr:col>6</xdr:col>
      <xdr:colOff>7115</xdr:colOff>
      <xdr:row>16</xdr:row>
      <xdr:rowOff>202688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92E5F46-6CF2-ED45-9537-ACA4177CA7B6}"/>
            </a:ext>
          </a:extLst>
        </xdr:cNvPr>
        <xdr:cNvCxnSpPr>
          <a:cxnSpLocks/>
          <a:stCxn id="2" idx="4"/>
          <a:endCxn id="10" idx="0"/>
        </xdr:cNvCxnSpPr>
      </xdr:nvCxnSpPr>
      <xdr:spPr>
        <a:xfrm>
          <a:off x="15202977" y="3676717"/>
          <a:ext cx="1187138" cy="66617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16</xdr:row>
      <xdr:rowOff>139700</xdr:rowOff>
    </xdr:from>
    <xdr:to>
      <xdr:col>7</xdr:col>
      <xdr:colOff>114300</xdr:colOff>
      <xdr:row>18</xdr:row>
      <xdr:rowOff>176153</xdr:rowOff>
    </xdr:to>
    <xdr:sp macro="" textlink="">
      <xdr:nvSpPr>
        <xdr:cNvPr id="15" name="TextBox 32">
          <a:extLst>
            <a:ext uri="{FF2B5EF4-FFF2-40B4-BE49-F238E27FC236}">
              <a16:creationId xmlns:a16="http://schemas.microsoft.com/office/drawing/2014/main" id="{006D6932-D96C-8146-89DF-5D81E6B0BF00}"/>
            </a:ext>
          </a:extLst>
        </xdr:cNvPr>
        <xdr:cNvSpPr txBox="1"/>
      </xdr:nvSpPr>
      <xdr:spPr>
        <a:xfrm>
          <a:off x="2273300" y="4267200"/>
          <a:ext cx="6731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+?</a:t>
          </a:r>
        </a:p>
      </xdr:txBody>
    </xdr:sp>
    <xdr:clientData/>
  </xdr:twoCellAnchor>
  <xdr:twoCellAnchor>
    <xdr:from>
      <xdr:col>13</xdr:col>
      <xdr:colOff>230211</xdr:colOff>
      <xdr:row>11</xdr:row>
      <xdr:rowOff>271421</xdr:rowOff>
    </xdr:from>
    <xdr:to>
      <xdr:col>15</xdr:col>
      <xdr:colOff>61761</xdr:colOff>
      <xdr:row>13</xdr:row>
      <xdr:rowOff>217645</xdr:rowOff>
    </xdr:to>
    <xdr:sp macro="" textlink="">
      <xdr:nvSpPr>
        <xdr:cNvPr id="16" name="TextBox 36">
          <a:extLst>
            <a:ext uri="{FF2B5EF4-FFF2-40B4-BE49-F238E27FC236}">
              <a16:creationId xmlns:a16="http://schemas.microsoft.com/office/drawing/2014/main" id="{6236A2CD-AFC2-7E44-9390-A15621279947}"/>
            </a:ext>
          </a:extLst>
        </xdr:cNvPr>
        <xdr:cNvSpPr txBox="1"/>
      </xdr:nvSpPr>
      <xdr:spPr>
        <a:xfrm>
          <a:off x="15470211" y="3065421"/>
          <a:ext cx="555450" cy="46692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10</xdr:col>
      <xdr:colOff>253450</xdr:colOff>
      <xdr:row>13</xdr:row>
      <xdr:rowOff>30045</xdr:rowOff>
    </xdr:from>
    <xdr:to>
      <xdr:col>11</xdr:col>
      <xdr:colOff>300147</xdr:colOff>
      <xdr:row>14</xdr:row>
      <xdr:rowOff>193146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DE72E7D-D402-D04E-9D40-2066FE08AAB4}"/>
            </a:ext>
          </a:extLst>
        </xdr:cNvPr>
        <xdr:cNvSpPr/>
      </xdr:nvSpPr>
      <xdr:spPr>
        <a:xfrm>
          <a:off x="14439350" y="3344745"/>
          <a:ext cx="402297" cy="40440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9</xdr:col>
      <xdr:colOff>193085</xdr:colOff>
      <xdr:row>17</xdr:row>
      <xdr:rowOff>92902</xdr:rowOff>
    </xdr:from>
    <xdr:to>
      <xdr:col>10</xdr:col>
      <xdr:colOff>216691</xdr:colOff>
      <xdr:row>19</xdr:row>
      <xdr:rowOff>2004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736EE76-894B-AA44-AA06-1461022DAC0E}"/>
            </a:ext>
          </a:extLst>
        </xdr:cNvPr>
        <xdr:cNvSpPr/>
      </xdr:nvSpPr>
      <xdr:spPr>
        <a:xfrm>
          <a:off x="13997985" y="4372802"/>
          <a:ext cx="404606" cy="4044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14388</xdr:colOff>
      <xdr:row>14</xdr:row>
      <xdr:rowOff>193146</xdr:rowOff>
    </xdr:from>
    <xdr:to>
      <xdr:col>11</xdr:col>
      <xdr:colOff>97844</xdr:colOff>
      <xdr:row>17</xdr:row>
      <xdr:rowOff>92902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CB4AB559-7DE2-5B4B-BE9A-CB92B522BA42}"/>
            </a:ext>
          </a:extLst>
        </xdr:cNvPr>
        <xdr:cNvCxnSpPr>
          <a:cxnSpLocks/>
          <a:stCxn id="17" idx="4"/>
          <a:endCxn id="18" idx="0"/>
        </xdr:cNvCxnSpPr>
      </xdr:nvCxnSpPr>
      <xdr:spPr>
        <a:xfrm flipH="1">
          <a:off x="14200288" y="3749146"/>
          <a:ext cx="439056" cy="6236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265545</xdr:colOff>
      <xdr:row>18</xdr:row>
      <xdr:rowOff>248235</xdr:rowOff>
    </xdr:from>
    <xdr:to>
      <xdr:col>10</xdr:col>
      <xdr:colOff>323702</xdr:colOff>
      <xdr:row>20</xdr:row>
      <xdr:rowOff>206004</xdr:rowOff>
    </xdr:to>
    <xdr:sp macro="" textlink="">
      <xdr:nvSpPr>
        <xdr:cNvPr id="20" name="TextBox 13">
          <a:extLst>
            <a:ext uri="{FF2B5EF4-FFF2-40B4-BE49-F238E27FC236}">
              <a16:creationId xmlns:a16="http://schemas.microsoft.com/office/drawing/2014/main" id="{3E952DAC-CE31-9F40-B281-3A430514A693}"/>
            </a:ext>
          </a:extLst>
        </xdr:cNvPr>
        <xdr:cNvSpPr txBox="1"/>
      </xdr:nvSpPr>
      <xdr:spPr>
        <a:xfrm>
          <a:off x="14070445" y="4769435"/>
          <a:ext cx="43915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11</xdr:col>
      <xdr:colOff>332865</xdr:colOff>
      <xdr:row>17</xdr:row>
      <xdr:rowOff>92902</xdr:rowOff>
    </xdr:from>
    <xdr:to>
      <xdr:col>13</xdr:col>
      <xdr:colOff>33198</xdr:colOff>
      <xdr:row>19</xdr:row>
      <xdr:rowOff>2004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FF9B96C-B3C8-4C45-A8D9-4DAE1F6C45B6}"/>
            </a:ext>
          </a:extLst>
        </xdr:cNvPr>
        <xdr:cNvSpPr/>
      </xdr:nvSpPr>
      <xdr:spPr>
        <a:xfrm>
          <a:off x="14874365" y="4372802"/>
          <a:ext cx="398833" cy="4044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97844</xdr:colOff>
      <xdr:row>14</xdr:row>
      <xdr:rowOff>193146</xdr:rowOff>
    </xdr:from>
    <xdr:to>
      <xdr:col>12</xdr:col>
      <xdr:colOff>177259</xdr:colOff>
      <xdr:row>17</xdr:row>
      <xdr:rowOff>92902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4E15913-9FB4-374B-8DA2-00B80161075E}"/>
            </a:ext>
          </a:extLst>
        </xdr:cNvPr>
        <xdr:cNvCxnSpPr>
          <a:cxnSpLocks/>
          <a:stCxn id="17" idx="4"/>
          <a:endCxn id="21" idx="0"/>
        </xdr:cNvCxnSpPr>
      </xdr:nvCxnSpPr>
      <xdr:spPr>
        <a:xfrm>
          <a:off x="14639344" y="3749146"/>
          <a:ext cx="435015" cy="62365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28685</xdr:colOff>
      <xdr:row>18</xdr:row>
      <xdr:rowOff>248236</xdr:rowOff>
    </xdr:from>
    <xdr:to>
      <xdr:col>13</xdr:col>
      <xdr:colOff>121478</xdr:colOff>
      <xdr:row>20</xdr:row>
      <xdr:rowOff>206005</xdr:rowOff>
    </xdr:to>
    <xdr:sp macro="" textlink="">
      <xdr:nvSpPr>
        <xdr:cNvPr id="23" name="TextBox 24">
          <a:extLst>
            <a:ext uri="{FF2B5EF4-FFF2-40B4-BE49-F238E27FC236}">
              <a16:creationId xmlns:a16="http://schemas.microsoft.com/office/drawing/2014/main" id="{D0273D0E-9910-F544-A2FB-F0EDDD0236D7}"/>
            </a:ext>
          </a:extLst>
        </xdr:cNvPr>
        <xdr:cNvSpPr txBox="1"/>
      </xdr:nvSpPr>
      <xdr:spPr>
        <a:xfrm>
          <a:off x="14925785" y="4769436"/>
          <a:ext cx="43569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14</xdr:col>
      <xdr:colOff>150122</xdr:colOff>
      <xdr:row>17</xdr:row>
      <xdr:rowOff>104448</xdr:rowOff>
    </xdr:from>
    <xdr:to>
      <xdr:col>15</xdr:col>
      <xdr:colOff>185274</xdr:colOff>
      <xdr:row>19</xdr:row>
      <xdr:rowOff>13550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C9B73CF-E5DE-6744-9059-20443299206C}"/>
            </a:ext>
          </a:extLst>
        </xdr:cNvPr>
        <xdr:cNvSpPr/>
      </xdr:nvSpPr>
      <xdr:spPr>
        <a:xfrm>
          <a:off x="15745722" y="4384348"/>
          <a:ext cx="403452" cy="4044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14</xdr:col>
      <xdr:colOff>207388</xdr:colOff>
      <xdr:row>19</xdr:row>
      <xdr:rowOff>17327</xdr:rowOff>
    </xdr:from>
    <xdr:to>
      <xdr:col>15</xdr:col>
      <xdr:colOff>277091</xdr:colOff>
      <xdr:row>21</xdr:row>
      <xdr:rowOff>9732</xdr:rowOff>
    </xdr:to>
    <xdr:sp macro="" textlink="">
      <xdr:nvSpPr>
        <xdr:cNvPr id="25" name="TextBox 22">
          <a:extLst>
            <a:ext uri="{FF2B5EF4-FFF2-40B4-BE49-F238E27FC236}">
              <a16:creationId xmlns:a16="http://schemas.microsoft.com/office/drawing/2014/main" id="{2DEC3C8F-273A-3E4F-AE32-A69DBDFDB635}"/>
            </a:ext>
          </a:extLst>
        </xdr:cNvPr>
        <xdr:cNvSpPr txBox="1"/>
      </xdr:nvSpPr>
      <xdr:spPr>
        <a:xfrm>
          <a:off x="15802988" y="4792527"/>
          <a:ext cx="438003" cy="4623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11</xdr:col>
      <xdr:colOff>97844</xdr:colOff>
      <xdr:row>14</xdr:row>
      <xdr:rowOff>193146</xdr:rowOff>
    </xdr:from>
    <xdr:to>
      <xdr:col>14</xdr:col>
      <xdr:colOff>352425</xdr:colOff>
      <xdr:row>17</xdr:row>
      <xdr:rowOff>104448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CC58CF9-6C9E-5C45-B1AB-305E459F98EE}"/>
            </a:ext>
          </a:extLst>
        </xdr:cNvPr>
        <xdr:cNvCxnSpPr>
          <a:cxnSpLocks/>
          <a:stCxn id="17" idx="4"/>
          <a:endCxn id="24" idx="0"/>
        </xdr:cNvCxnSpPr>
      </xdr:nvCxnSpPr>
      <xdr:spPr>
        <a:xfrm>
          <a:off x="14639344" y="3749146"/>
          <a:ext cx="1308681" cy="63520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139980</xdr:colOff>
      <xdr:row>13</xdr:row>
      <xdr:rowOff>55690</xdr:rowOff>
    </xdr:from>
    <xdr:to>
      <xdr:col>14</xdr:col>
      <xdr:colOff>186677</xdr:colOff>
      <xdr:row>14</xdr:row>
      <xdr:rowOff>218791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065B732-D589-3D46-835C-0EB010BC8145}"/>
            </a:ext>
          </a:extLst>
        </xdr:cNvPr>
        <xdr:cNvSpPr/>
      </xdr:nvSpPr>
      <xdr:spPr>
        <a:xfrm>
          <a:off x="15379980" y="3370390"/>
          <a:ext cx="402297" cy="40440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14388</xdr:colOff>
      <xdr:row>14</xdr:row>
      <xdr:rowOff>218791</xdr:rowOff>
    </xdr:from>
    <xdr:to>
      <xdr:col>13</xdr:col>
      <xdr:colOff>342283</xdr:colOff>
      <xdr:row>17</xdr:row>
      <xdr:rowOff>92902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2057A23-3D07-9C40-9207-C72AB1C344E7}"/>
            </a:ext>
          </a:extLst>
        </xdr:cNvPr>
        <xdr:cNvCxnSpPr>
          <a:cxnSpLocks/>
          <a:stCxn id="27" idx="4"/>
          <a:endCxn id="18" idx="0"/>
        </xdr:cNvCxnSpPr>
      </xdr:nvCxnSpPr>
      <xdr:spPr>
        <a:xfrm flipH="1">
          <a:off x="14200288" y="3774791"/>
          <a:ext cx="1381995" cy="5980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177259</xdr:colOff>
      <xdr:row>14</xdr:row>
      <xdr:rowOff>218791</xdr:rowOff>
    </xdr:from>
    <xdr:to>
      <xdr:col>13</xdr:col>
      <xdr:colOff>342283</xdr:colOff>
      <xdr:row>17</xdr:row>
      <xdr:rowOff>92902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CE47BB1-A4A0-FC42-ADD0-2BF5FB40FA92}"/>
            </a:ext>
          </a:extLst>
        </xdr:cNvPr>
        <xdr:cNvCxnSpPr>
          <a:cxnSpLocks/>
          <a:stCxn id="27" idx="4"/>
          <a:endCxn id="21" idx="0"/>
        </xdr:cNvCxnSpPr>
      </xdr:nvCxnSpPr>
      <xdr:spPr>
        <a:xfrm flipH="1">
          <a:off x="15074359" y="3774791"/>
          <a:ext cx="507924" cy="5980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342283</xdr:colOff>
      <xdr:row>14</xdr:row>
      <xdr:rowOff>218791</xdr:rowOff>
    </xdr:from>
    <xdr:to>
      <xdr:col>14</xdr:col>
      <xdr:colOff>352425</xdr:colOff>
      <xdr:row>17</xdr:row>
      <xdr:rowOff>104448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77B9FF0-D928-D24A-AF90-71B7F8DBDED0}"/>
            </a:ext>
          </a:extLst>
        </xdr:cNvPr>
        <xdr:cNvCxnSpPr>
          <a:cxnSpLocks/>
          <a:stCxn id="27" idx="4"/>
          <a:endCxn id="24" idx="0"/>
        </xdr:cNvCxnSpPr>
      </xdr:nvCxnSpPr>
      <xdr:spPr>
        <a:xfrm>
          <a:off x="15582283" y="3774791"/>
          <a:ext cx="365742" cy="6095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214073</xdr:colOff>
      <xdr:row>11</xdr:row>
      <xdr:rowOff>184727</xdr:rowOff>
    </xdr:from>
    <xdr:to>
      <xdr:col>14</xdr:col>
      <xdr:colOff>329959</xdr:colOff>
      <xdr:row>13</xdr:row>
      <xdr:rowOff>130951</xdr:rowOff>
    </xdr:to>
    <xdr:sp macro="" textlink="">
      <xdr:nvSpPr>
        <xdr:cNvPr id="31" name="TextBox 36">
          <a:extLst>
            <a:ext uri="{FF2B5EF4-FFF2-40B4-BE49-F238E27FC236}">
              <a16:creationId xmlns:a16="http://schemas.microsoft.com/office/drawing/2014/main" id="{C6F3871E-1563-C44E-9C46-04D571D0EAA3}"/>
            </a:ext>
          </a:extLst>
        </xdr:cNvPr>
        <xdr:cNvSpPr txBox="1"/>
      </xdr:nvSpPr>
      <xdr:spPr>
        <a:xfrm>
          <a:off x="15454073" y="2978727"/>
          <a:ext cx="471486" cy="46692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10</xdr:col>
      <xdr:colOff>311728</xdr:colOff>
      <xdr:row>11</xdr:row>
      <xdr:rowOff>184727</xdr:rowOff>
    </xdr:from>
    <xdr:to>
      <xdr:col>12</xdr:col>
      <xdr:colOff>131733</xdr:colOff>
      <xdr:row>13</xdr:row>
      <xdr:rowOff>130952</xdr:rowOff>
    </xdr:to>
    <xdr:sp macro="" textlink="">
      <xdr:nvSpPr>
        <xdr:cNvPr id="32" name="TextBox 10">
          <a:extLst>
            <a:ext uri="{FF2B5EF4-FFF2-40B4-BE49-F238E27FC236}">
              <a16:creationId xmlns:a16="http://schemas.microsoft.com/office/drawing/2014/main" id="{42420318-83F7-7944-B597-8114BFA64FAF}"/>
            </a:ext>
          </a:extLst>
        </xdr:cNvPr>
        <xdr:cNvSpPr txBox="1"/>
      </xdr:nvSpPr>
      <xdr:spPr>
        <a:xfrm>
          <a:off x="14497628" y="2978727"/>
          <a:ext cx="531205" cy="4669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9</xdr:col>
      <xdr:colOff>63500</xdr:colOff>
      <xdr:row>14</xdr:row>
      <xdr:rowOff>177800</xdr:rowOff>
    </xdr:from>
    <xdr:to>
      <xdr:col>10</xdr:col>
      <xdr:colOff>317500</xdr:colOff>
      <xdr:row>16</xdr:row>
      <xdr:rowOff>214253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F675228-D8DD-5941-B4E5-A43EB7A5E650}"/>
            </a:ext>
          </a:extLst>
        </xdr:cNvPr>
        <xdr:cNvSpPr txBox="1"/>
      </xdr:nvSpPr>
      <xdr:spPr>
        <a:xfrm>
          <a:off x="3949700" y="38354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21</xdr:col>
      <xdr:colOff>230211</xdr:colOff>
      <xdr:row>11</xdr:row>
      <xdr:rowOff>271421</xdr:rowOff>
    </xdr:from>
    <xdr:to>
      <xdr:col>23</xdr:col>
      <xdr:colOff>61761</xdr:colOff>
      <xdr:row>13</xdr:row>
      <xdr:rowOff>217645</xdr:rowOff>
    </xdr:to>
    <xdr:sp macro="" textlink="">
      <xdr:nvSpPr>
        <xdr:cNvPr id="34" name="TextBox 36">
          <a:extLst>
            <a:ext uri="{FF2B5EF4-FFF2-40B4-BE49-F238E27FC236}">
              <a16:creationId xmlns:a16="http://schemas.microsoft.com/office/drawing/2014/main" id="{7F792A7C-7C2A-A94A-9962-D5432C8B3DA8}"/>
            </a:ext>
          </a:extLst>
        </xdr:cNvPr>
        <xdr:cNvSpPr txBox="1"/>
      </xdr:nvSpPr>
      <xdr:spPr>
        <a:xfrm>
          <a:off x="5615011" y="3167021"/>
          <a:ext cx="555450" cy="46692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400" baseline="-250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18</xdr:col>
      <xdr:colOff>253450</xdr:colOff>
      <xdr:row>13</xdr:row>
      <xdr:rowOff>30045</xdr:rowOff>
    </xdr:from>
    <xdr:to>
      <xdr:col>19</xdr:col>
      <xdr:colOff>300147</xdr:colOff>
      <xdr:row>14</xdr:row>
      <xdr:rowOff>193146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CA3D902-7375-2C42-8A7B-CA77428B5C68}"/>
            </a:ext>
          </a:extLst>
        </xdr:cNvPr>
        <xdr:cNvSpPr/>
      </xdr:nvSpPr>
      <xdr:spPr>
        <a:xfrm>
          <a:off x="4507950" y="3446345"/>
          <a:ext cx="427697" cy="40440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17</xdr:col>
      <xdr:colOff>193085</xdr:colOff>
      <xdr:row>17</xdr:row>
      <xdr:rowOff>92902</xdr:rowOff>
    </xdr:from>
    <xdr:to>
      <xdr:col>18</xdr:col>
      <xdr:colOff>216691</xdr:colOff>
      <xdr:row>19</xdr:row>
      <xdr:rowOff>2004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A64B82B-B6AD-C741-8FC9-3C9F339EEE67}"/>
            </a:ext>
          </a:extLst>
        </xdr:cNvPr>
        <xdr:cNvSpPr/>
      </xdr:nvSpPr>
      <xdr:spPr>
        <a:xfrm>
          <a:off x="4079285" y="4474402"/>
          <a:ext cx="391906" cy="3917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14388</xdr:colOff>
      <xdr:row>14</xdr:row>
      <xdr:rowOff>193146</xdr:rowOff>
    </xdr:from>
    <xdr:to>
      <xdr:col>19</xdr:col>
      <xdr:colOff>97844</xdr:colOff>
      <xdr:row>17</xdr:row>
      <xdr:rowOff>92902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C2E2D1DE-49A2-C54E-B9B5-DB368CDD685F}"/>
            </a:ext>
          </a:extLst>
        </xdr:cNvPr>
        <xdr:cNvCxnSpPr>
          <a:cxnSpLocks/>
          <a:stCxn id="35" idx="4"/>
          <a:endCxn id="36" idx="0"/>
        </xdr:cNvCxnSpPr>
      </xdr:nvCxnSpPr>
      <xdr:spPr>
        <a:xfrm flipH="1">
          <a:off x="4268888" y="3850746"/>
          <a:ext cx="464456" cy="6236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265545</xdr:colOff>
      <xdr:row>18</xdr:row>
      <xdr:rowOff>248235</xdr:rowOff>
    </xdr:from>
    <xdr:to>
      <xdr:col>18</xdr:col>
      <xdr:colOff>323702</xdr:colOff>
      <xdr:row>20</xdr:row>
      <xdr:rowOff>206004</xdr:rowOff>
    </xdr:to>
    <xdr:sp macro="" textlink="">
      <xdr:nvSpPr>
        <xdr:cNvPr id="38" name="TextBox 13">
          <a:extLst>
            <a:ext uri="{FF2B5EF4-FFF2-40B4-BE49-F238E27FC236}">
              <a16:creationId xmlns:a16="http://schemas.microsoft.com/office/drawing/2014/main" id="{6195A7BB-1D26-004B-BC21-35C7012D4E88}"/>
            </a:ext>
          </a:extLst>
        </xdr:cNvPr>
        <xdr:cNvSpPr txBox="1"/>
      </xdr:nvSpPr>
      <xdr:spPr>
        <a:xfrm>
          <a:off x="4151745" y="4858335"/>
          <a:ext cx="426457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19</xdr:col>
      <xdr:colOff>332865</xdr:colOff>
      <xdr:row>17</xdr:row>
      <xdr:rowOff>92902</xdr:rowOff>
    </xdr:from>
    <xdr:to>
      <xdr:col>21</xdr:col>
      <xdr:colOff>33198</xdr:colOff>
      <xdr:row>19</xdr:row>
      <xdr:rowOff>2004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D2B7D2E-AB48-454B-B0E9-BFD62B95D61F}"/>
            </a:ext>
          </a:extLst>
        </xdr:cNvPr>
        <xdr:cNvSpPr/>
      </xdr:nvSpPr>
      <xdr:spPr>
        <a:xfrm>
          <a:off x="4968365" y="4474402"/>
          <a:ext cx="449633" cy="3917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97844</xdr:colOff>
      <xdr:row>14</xdr:row>
      <xdr:rowOff>193146</xdr:rowOff>
    </xdr:from>
    <xdr:to>
      <xdr:col>20</xdr:col>
      <xdr:colOff>177259</xdr:colOff>
      <xdr:row>17</xdr:row>
      <xdr:rowOff>92902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F429FDE-0E22-944F-9256-FB48E463EF43}"/>
            </a:ext>
          </a:extLst>
        </xdr:cNvPr>
        <xdr:cNvCxnSpPr>
          <a:cxnSpLocks/>
          <a:stCxn id="35" idx="4"/>
          <a:endCxn id="39" idx="0"/>
        </xdr:cNvCxnSpPr>
      </xdr:nvCxnSpPr>
      <xdr:spPr>
        <a:xfrm>
          <a:off x="4733344" y="3850746"/>
          <a:ext cx="447715" cy="6236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28685</xdr:colOff>
      <xdr:row>18</xdr:row>
      <xdr:rowOff>248236</xdr:rowOff>
    </xdr:from>
    <xdr:to>
      <xdr:col>21</xdr:col>
      <xdr:colOff>121478</xdr:colOff>
      <xdr:row>20</xdr:row>
      <xdr:rowOff>206005</xdr:rowOff>
    </xdr:to>
    <xdr:sp macro="" textlink="">
      <xdr:nvSpPr>
        <xdr:cNvPr id="41" name="TextBox 24">
          <a:extLst>
            <a:ext uri="{FF2B5EF4-FFF2-40B4-BE49-F238E27FC236}">
              <a16:creationId xmlns:a16="http://schemas.microsoft.com/office/drawing/2014/main" id="{228FE818-DEB0-4942-B0DF-2BD7031FBD19}"/>
            </a:ext>
          </a:extLst>
        </xdr:cNvPr>
        <xdr:cNvSpPr txBox="1"/>
      </xdr:nvSpPr>
      <xdr:spPr>
        <a:xfrm>
          <a:off x="5032485" y="4858336"/>
          <a:ext cx="473793" cy="4657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22</xdr:col>
      <xdr:colOff>150122</xdr:colOff>
      <xdr:row>17</xdr:row>
      <xdr:rowOff>104448</xdr:rowOff>
    </xdr:from>
    <xdr:to>
      <xdr:col>23</xdr:col>
      <xdr:colOff>185274</xdr:colOff>
      <xdr:row>19</xdr:row>
      <xdr:rowOff>13550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B6B5879-F4F7-174E-8064-26E7932B945D}"/>
            </a:ext>
          </a:extLst>
        </xdr:cNvPr>
        <xdr:cNvSpPr/>
      </xdr:nvSpPr>
      <xdr:spPr>
        <a:xfrm>
          <a:off x="5903222" y="4485948"/>
          <a:ext cx="390752" cy="391702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22</xdr:col>
      <xdr:colOff>207388</xdr:colOff>
      <xdr:row>19</xdr:row>
      <xdr:rowOff>17327</xdr:rowOff>
    </xdr:from>
    <xdr:to>
      <xdr:col>23</xdr:col>
      <xdr:colOff>277091</xdr:colOff>
      <xdr:row>21</xdr:row>
      <xdr:rowOff>9732</xdr:rowOff>
    </xdr:to>
    <xdr:sp macro="" textlink="">
      <xdr:nvSpPr>
        <xdr:cNvPr id="43" name="TextBox 22">
          <a:extLst>
            <a:ext uri="{FF2B5EF4-FFF2-40B4-BE49-F238E27FC236}">
              <a16:creationId xmlns:a16="http://schemas.microsoft.com/office/drawing/2014/main" id="{E5E523DD-CFF0-3440-909D-30C79151E8FB}"/>
            </a:ext>
          </a:extLst>
        </xdr:cNvPr>
        <xdr:cNvSpPr txBox="1"/>
      </xdr:nvSpPr>
      <xdr:spPr>
        <a:xfrm>
          <a:off x="5960488" y="4881427"/>
          <a:ext cx="425303" cy="4623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19</xdr:col>
      <xdr:colOff>97844</xdr:colOff>
      <xdr:row>14</xdr:row>
      <xdr:rowOff>193146</xdr:rowOff>
    </xdr:from>
    <xdr:to>
      <xdr:col>22</xdr:col>
      <xdr:colOff>352425</xdr:colOff>
      <xdr:row>17</xdr:row>
      <xdr:rowOff>104448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B4305CC-F985-6641-B828-D5103F53904D}"/>
            </a:ext>
          </a:extLst>
        </xdr:cNvPr>
        <xdr:cNvCxnSpPr>
          <a:cxnSpLocks/>
          <a:stCxn id="35" idx="4"/>
          <a:endCxn id="42" idx="0"/>
        </xdr:cNvCxnSpPr>
      </xdr:nvCxnSpPr>
      <xdr:spPr>
        <a:xfrm>
          <a:off x="4733344" y="3850746"/>
          <a:ext cx="1372181" cy="63520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139980</xdr:colOff>
      <xdr:row>13</xdr:row>
      <xdr:rowOff>55690</xdr:rowOff>
    </xdr:from>
    <xdr:to>
      <xdr:col>22</xdr:col>
      <xdr:colOff>186677</xdr:colOff>
      <xdr:row>14</xdr:row>
      <xdr:rowOff>218791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2811A10-71DA-8049-BB14-B221D445BC3F}"/>
            </a:ext>
          </a:extLst>
        </xdr:cNvPr>
        <xdr:cNvSpPr/>
      </xdr:nvSpPr>
      <xdr:spPr>
        <a:xfrm>
          <a:off x="5524780" y="3471990"/>
          <a:ext cx="414997" cy="40440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14388</xdr:colOff>
      <xdr:row>14</xdr:row>
      <xdr:rowOff>218791</xdr:rowOff>
    </xdr:from>
    <xdr:to>
      <xdr:col>21</xdr:col>
      <xdr:colOff>342283</xdr:colOff>
      <xdr:row>17</xdr:row>
      <xdr:rowOff>92902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AB15920-DD82-5446-AEE6-A0FD92AE41EB}"/>
            </a:ext>
          </a:extLst>
        </xdr:cNvPr>
        <xdr:cNvCxnSpPr>
          <a:cxnSpLocks/>
          <a:stCxn id="45" idx="4"/>
          <a:endCxn id="36" idx="0"/>
        </xdr:cNvCxnSpPr>
      </xdr:nvCxnSpPr>
      <xdr:spPr>
        <a:xfrm flipH="1">
          <a:off x="4268888" y="3876391"/>
          <a:ext cx="1458195" cy="5980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177259</xdr:colOff>
      <xdr:row>14</xdr:row>
      <xdr:rowOff>218791</xdr:rowOff>
    </xdr:from>
    <xdr:to>
      <xdr:col>21</xdr:col>
      <xdr:colOff>342283</xdr:colOff>
      <xdr:row>17</xdr:row>
      <xdr:rowOff>92902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9FD48B7-1144-DD4F-9F38-C9FC2C17F762}"/>
            </a:ext>
          </a:extLst>
        </xdr:cNvPr>
        <xdr:cNvCxnSpPr>
          <a:cxnSpLocks/>
          <a:stCxn id="45" idx="4"/>
          <a:endCxn id="39" idx="0"/>
        </xdr:cNvCxnSpPr>
      </xdr:nvCxnSpPr>
      <xdr:spPr>
        <a:xfrm flipH="1">
          <a:off x="5181059" y="3876391"/>
          <a:ext cx="546024" cy="5980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342283</xdr:colOff>
      <xdr:row>14</xdr:row>
      <xdr:rowOff>218791</xdr:rowOff>
    </xdr:from>
    <xdr:to>
      <xdr:col>22</xdr:col>
      <xdr:colOff>352425</xdr:colOff>
      <xdr:row>17</xdr:row>
      <xdr:rowOff>104448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B07C468-7D39-7B4A-8386-8A9A1F113811}"/>
            </a:ext>
          </a:extLst>
        </xdr:cNvPr>
        <xdr:cNvCxnSpPr>
          <a:cxnSpLocks/>
          <a:stCxn id="45" idx="4"/>
          <a:endCxn id="42" idx="0"/>
        </xdr:cNvCxnSpPr>
      </xdr:nvCxnSpPr>
      <xdr:spPr>
        <a:xfrm>
          <a:off x="5727083" y="3876391"/>
          <a:ext cx="378442" cy="6095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214073</xdr:colOff>
      <xdr:row>11</xdr:row>
      <xdr:rowOff>184727</xdr:rowOff>
    </xdr:from>
    <xdr:to>
      <xdr:col>22</xdr:col>
      <xdr:colOff>329959</xdr:colOff>
      <xdr:row>13</xdr:row>
      <xdr:rowOff>130951</xdr:rowOff>
    </xdr:to>
    <xdr:sp macro="" textlink="">
      <xdr:nvSpPr>
        <xdr:cNvPr id="49" name="TextBox 36">
          <a:extLst>
            <a:ext uri="{FF2B5EF4-FFF2-40B4-BE49-F238E27FC236}">
              <a16:creationId xmlns:a16="http://schemas.microsoft.com/office/drawing/2014/main" id="{FD9D02FD-4BD0-3046-AC13-9962E87EE434}"/>
            </a:ext>
          </a:extLst>
        </xdr:cNvPr>
        <xdr:cNvSpPr txBox="1"/>
      </xdr:nvSpPr>
      <xdr:spPr>
        <a:xfrm>
          <a:off x="5598873" y="3080327"/>
          <a:ext cx="484186" cy="46692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18</xdr:col>
      <xdr:colOff>311728</xdr:colOff>
      <xdr:row>11</xdr:row>
      <xdr:rowOff>184727</xdr:rowOff>
    </xdr:from>
    <xdr:to>
      <xdr:col>20</xdr:col>
      <xdr:colOff>131733</xdr:colOff>
      <xdr:row>13</xdr:row>
      <xdr:rowOff>130952</xdr:rowOff>
    </xdr:to>
    <xdr:sp macro="" textlink="">
      <xdr:nvSpPr>
        <xdr:cNvPr id="50" name="TextBox 10">
          <a:extLst>
            <a:ext uri="{FF2B5EF4-FFF2-40B4-BE49-F238E27FC236}">
              <a16:creationId xmlns:a16="http://schemas.microsoft.com/office/drawing/2014/main" id="{47CBBA90-87E5-2E40-9AC0-BEB05F7343DB}"/>
            </a:ext>
          </a:extLst>
        </xdr:cNvPr>
        <xdr:cNvSpPr txBox="1"/>
      </xdr:nvSpPr>
      <xdr:spPr>
        <a:xfrm>
          <a:off x="4566228" y="3080327"/>
          <a:ext cx="569305" cy="4669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17</xdr:col>
      <xdr:colOff>63500</xdr:colOff>
      <xdr:row>14</xdr:row>
      <xdr:rowOff>177800</xdr:rowOff>
    </xdr:from>
    <xdr:to>
      <xdr:col>18</xdr:col>
      <xdr:colOff>317500</xdr:colOff>
      <xdr:row>16</xdr:row>
      <xdr:rowOff>214253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9C2CE7E-2AE5-CE4C-81EC-A8336814D119}"/>
            </a:ext>
          </a:extLst>
        </xdr:cNvPr>
        <xdr:cNvSpPr txBox="1"/>
      </xdr:nvSpPr>
      <xdr:spPr>
        <a:xfrm>
          <a:off x="3949700" y="38354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26</xdr:col>
      <xdr:colOff>0</xdr:colOff>
      <xdr:row>13</xdr:row>
      <xdr:rowOff>210491</xdr:rowOff>
    </xdr:from>
    <xdr:to>
      <xdr:col>27</xdr:col>
      <xdr:colOff>65411</xdr:colOff>
      <xdr:row>15</xdr:row>
      <xdr:rowOff>80094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B135FDA9-538C-5A4E-B7F2-BFAA70817FA2}"/>
            </a:ext>
          </a:extLst>
        </xdr:cNvPr>
        <xdr:cNvSpPr/>
      </xdr:nvSpPr>
      <xdr:spPr>
        <a:xfrm>
          <a:off x="11455400" y="3614091"/>
          <a:ext cx="421011" cy="3649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26</xdr:col>
      <xdr:colOff>9026</xdr:colOff>
      <xdr:row>17</xdr:row>
      <xdr:rowOff>239632</xdr:rowOff>
    </xdr:from>
    <xdr:to>
      <xdr:col>27</xdr:col>
      <xdr:colOff>74437</xdr:colOff>
      <xdr:row>19</xdr:row>
      <xdr:rowOff>121935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6F14C5A4-BEB0-7A4C-B13A-5809A0988522}"/>
            </a:ext>
          </a:extLst>
        </xdr:cNvPr>
        <xdr:cNvSpPr/>
      </xdr:nvSpPr>
      <xdr:spPr>
        <a:xfrm>
          <a:off x="11464426" y="4646532"/>
          <a:ext cx="4210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26</xdr:col>
      <xdr:colOff>210506</xdr:colOff>
      <xdr:row>15</xdr:row>
      <xdr:rowOff>80094</xdr:rowOff>
    </xdr:from>
    <xdr:to>
      <xdr:col>26</xdr:col>
      <xdr:colOff>219532</xdr:colOff>
      <xdr:row>17</xdr:row>
      <xdr:rowOff>239632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E17001C-D1C3-D342-8052-A85E667A309F}"/>
            </a:ext>
          </a:extLst>
        </xdr:cNvPr>
        <xdr:cNvCxnSpPr>
          <a:cxnSpLocks/>
          <a:stCxn id="52" idx="4"/>
          <a:endCxn id="53" idx="0"/>
        </xdr:cNvCxnSpPr>
      </xdr:nvCxnSpPr>
      <xdr:spPr>
        <a:xfrm>
          <a:off x="11665906" y="3978994"/>
          <a:ext cx="9026" cy="6675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66898</xdr:colOff>
      <xdr:row>12</xdr:row>
      <xdr:rowOff>76200</xdr:rowOff>
    </xdr:from>
    <xdr:to>
      <xdr:col>27</xdr:col>
      <xdr:colOff>204303</xdr:colOff>
      <xdr:row>14</xdr:row>
      <xdr:rowOff>46605</xdr:rowOff>
    </xdr:to>
    <xdr:sp macro="" textlink="">
      <xdr:nvSpPr>
        <xdr:cNvPr id="55" name="TextBox 10">
          <a:extLst>
            <a:ext uri="{FF2B5EF4-FFF2-40B4-BE49-F238E27FC236}">
              <a16:creationId xmlns:a16="http://schemas.microsoft.com/office/drawing/2014/main" id="{BD76C29F-DF1D-D94D-8882-2D688B23D118}"/>
            </a:ext>
          </a:extLst>
        </xdr:cNvPr>
        <xdr:cNvSpPr txBox="1"/>
      </xdr:nvSpPr>
      <xdr:spPr>
        <a:xfrm>
          <a:off x="11522298" y="3238500"/>
          <a:ext cx="493005" cy="4657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26</xdr:col>
      <xdr:colOff>114968</xdr:colOff>
      <xdr:row>19</xdr:row>
      <xdr:rowOff>46292</xdr:rowOff>
    </xdr:from>
    <xdr:to>
      <xdr:col>27</xdr:col>
      <xdr:colOff>216330</xdr:colOff>
      <xdr:row>21</xdr:row>
      <xdr:rowOff>42097</xdr:rowOff>
    </xdr:to>
    <xdr:sp macro="" textlink="">
      <xdr:nvSpPr>
        <xdr:cNvPr id="56" name="TextBox 13">
          <a:extLst>
            <a:ext uri="{FF2B5EF4-FFF2-40B4-BE49-F238E27FC236}">
              <a16:creationId xmlns:a16="http://schemas.microsoft.com/office/drawing/2014/main" id="{1029BCBF-B5D3-EF4A-98F9-53129B92CCAA}"/>
            </a:ext>
          </a:extLst>
        </xdr:cNvPr>
        <xdr:cNvSpPr txBox="1"/>
      </xdr:nvSpPr>
      <xdr:spPr>
        <a:xfrm>
          <a:off x="11570368" y="4935792"/>
          <a:ext cx="456962" cy="5165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28</xdr:col>
      <xdr:colOff>113015</xdr:colOff>
      <xdr:row>17</xdr:row>
      <xdr:rowOff>239632</xdr:rowOff>
    </xdr:from>
    <xdr:to>
      <xdr:col>29</xdr:col>
      <xdr:colOff>178426</xdr:colOff>
      <xdr:row>19</xdr:row>
      <xdr:rowOff>121935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C00E0FA0-A234-9D49-88F6-7A14BFF24BC6}"/>
            </a:ext>
          </a:extLst>
        </xdr:cNvPr>
        <xdr:cNvSpPr/>
      </xdr:nvSpPr>
      <xdr:spPr>
        <a:xfrm>
          <a:off x="12279615" y="4646532"/>
          <a:ext cx="4210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26</xdr:col>
      <xdr:colOff>210506</xdr:colOff>
      <xdr:row>15</xdr:row>
      <xdr:rowOff>80094</xdr:rowOff>
    </xdr:from>
    <xdr:to>
      <xdr:col>28</xdr:col>
      <xdr:colOff>323521</xdr:colOff>
      <xdr:row>17</xdr:row>
      <xdr:rowOff>239632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6425A0C-7997-AA4D-A8CC-EE81D75E4203}"/>
            </a:ext>
          </a:extLst>
        </xdr:cNvPr>
        <xdr:cNvCxnSpPr>
          <a:cxnSpLocks/>
          <a:stCxn id="52" idx="4"/>
          <a:endCxn id="57" idx="0"/>
        </xdr:cNvCxnSpPr>
      </xdr:nvCxnSpPr>
      <xdr:spPr>
        <a:xfrm>
          <a:off x="11665906" y="3978994"/>
          <a:ext cx="824215" cy="6675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210616</xdr:colOff>
      <xdr:row>19</xdr:row>
      <xdr:rowOff>58992</xdr:rowOff>
    </xdr:from>
    <xdr:to>
      <xdr:col>29</xdr:col>
      <xdr:colOff>311978</xdr:colOff>
      <xdr:row>21</xdr:row>
      <xdr:rowOff>67497</xdr:rowOff>
    </xdr:to>
    <xdr:sp macro="" textlink="">
      <xdr:nvSpPr>
        <xdr:cNvPr id="59" name="TextBox 24">
          <a:extLst>
            <a:ext uri="{FF2B5EF4-FFF2-40B4-BE49-F238E27FC236}">
              <a16:creationId xmlns:a16="http://schemas.microsoft.com/office/drawing/2014/main" id="{AC3EA5EB-FFB2-8947-8A7D-B209662F6192}"/>
            </a:ext>
          </a:extLst>
        </xdr:cNvPr>
        <xdr:cNvSpPr txBox="1"/>
      </xdr:nvSpPr>
      <xdr:spPr>
        <a:xfrm>
          <a:off x="12377216" y="4948492"/>
          <a:ext cx="456962" cy="529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30</xdr:col>
      <xdr:colOff>261627</xdr:colOff>
      <xdr:row>18</xdr:row>
      <xdr:rowOff>23732</xdr:rowOff>
    </xdr:from>
    <xdr:to>
      <xdr:col>31</xdr:col>
      <xdr:colOff>339738</xdr:colOff>
      <xdr:row>19</xdr:row>
      <xdr:rowOff>147335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178A6EB4-722A-1049-BA1B-2499E8DE6069}"/>
            </a:ext>
          </a:extLst>
        </xdr:cNvPr>
        <xdr:cNvSpPr/>
      </xdr:nvSpPr>
      <xdr:spPr>
        <a:xfrm>
          <a:off x="13139427" y="4671932"/>
          <a:ext cx="4210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31</xdr:col>
      <xdr:colOff>238</xdr:colOff>
      <xdr:row>19</xdr:row>
      <xdr:rowOff>71692</xdr:rowOff>
    </xdr:from>
    <xdr:to>
      <xdr:col>32</xdr:col>
      <xdr:colOff>114300</xdr:colOff>
      <xdr:row>21</xdr:row>
      <xdr:rowOff>80197</xdr:rowOff>
    </xdr:to>
    <xdr:sp macro="" textlink="">
      <xdr:nvSpPr>
        <xdr:cNvPr id="61" name="TextBox 22">
          <a:extLst>
            <a:ext uri="{FF2B5EF4-FFF2-40B4-BE49-F238E27FC236}">
              <a16:creationId xmlns:a16="http://schemas.microsoft.com/office/drawing/2014/main" id="{B93388FB-0AAC-AC42-AB90-E3178E67774B}"/>
            </a:ext>
          </a:extLst>
        </xdr:cNvPr>
        <xdr:cNvSpPr txBox="1"/>
      </xdr:nvSpPr>
      <xdr:spPr>
        <a:xfrm>
          <a:off x="13220938" y="4961192"/>
          <a:ext cx="456962" cy="529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26</xdr:col>
      <xdr:colOff>210506</xdr:colOff>
      <xdr:row>15</xdr:row>
      <xdr:rowOff>80094</xdr:rowOff>
    </xdr:from>
    <xdr:to>
      <xdr:col>31</xdr:col>
      <xdr:colOff>129233</xdr:colOff>
      <xdr:row>18</xdr:row>
      <xdr:rowOff>23732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4DB1C143-C991-5347-B2DA-4A1199B17F2C}"/>
            </a:ext>
          </a:extLst>
        </xdr:cNvPr>
        <xdr:cNvCxnSpPr>
          <a:cxnSpLocks/>
          <a:stCxn id="52" idx="4"/>
          <a:endCxn id="60" idx="0"/>
        </xdr:cNvCxnSpPr>
      </xdr:nvCxnSpPr>
      <xdr:spPr>
        <a:xfrm>
          <a:off x="11665906" y="3978994"/>
          <a:ext cx="1684027" cy="6929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112279</xdr:colOff>
      <xdr:row>13</xdr:row>
      <xdr:rowOff>223191</xdr:rowOff>
    </xdr:from>
    <xdr:to>
      <xdr:col>29</xdr:col>
      <xdr:colOff>177690</xdr:colOff>
      <xdr:row>15</xdr:row>
      <xdr:rowOff>92794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60968DA-E227-E845-B7C8-6CC5D8A2B2A1}"/>
            </a:ext>
          </a:extLst>
        </xdr:cNvPr>
        <xdr:cNvSpPr/>
      </xdr:nvSpPr>
      <xdr:spPr>
        <a:xfrm>
          <a:off x="12278879" y="3626791"/>
          <a:ext cx="421011" cy="3649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26</xdr:col>
      <xdr:colOff>219532</xdr:colOff>
      <xdr:row>15</xdr:row>
      <xdr:rowOff>92794</xdr:rowOff>
    </xdr:from>
    <xdr:to>
      <xdr:col>28</xdr:col>
      <xdr:colOff>322785</xdr:colOff>
      <xdr:row>17</xdr:row>
      <xdr:rowOff>239632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4FF7EF7-B259-AE4F-B509-50769B04A204}"/>
            </a:ext>
          </a:extLst>
        </xdr:cNvPr>
        <xdr:cNvCxnSpPr>
          <a:cxnSpLocks/>
          <a:stCxn id="63" idx="4"/>
          <a:endCxn id="53" idx="0"/>
        </xdr:cNvCxnSpPr>
      </xdr:nvCxnSpPr>
      <xdr:spPr>
        <a:xfrm flipH="1">
          <a:off x="11674932" y="3991694"/>
          <a:ext cx="814453" cy="6548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322785</xdr:colOff>
      <xdr:row>15</xdr:row>
      <xdr:rowOff>92794</xdr:rowOff>
    </xdr:from>
    <xdr:to>
      <xdr:col>28</xdr:col>
      <xdr:colOff>323521</xdr:colOff>
      <xdr:row>17</xdr:row>
      <xdr:rowOff>239632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D78B82C-E70B-DC41-8EE3-18B0422C5AB4}"/>
            </a:ext>
          </a:extLst>
        </xdr:cNvPr>
        <xdr:cNvCxnSpPr>
          <a:cxnSpLocks/>
          <a:stCxn id="63" idx="4"/>
          <a:endCxn id="57" idx="0"/>
        </xdr:cNvCxnSpPr>
      </xdr:nvCxnSpPr>
      <xdr:spPr>
        <a:xfrm>
          <a:off x="12489385" y="3991694"/>
          <a:ext cx="736" cy="6548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322785</xdr:colOff>
      <xdr:row>15</xdr:row>
      <xdr:rowOff>92794</xdr:rowOff>
    </xdr:from>
    <xdr:to>
      <xdr:col>31</xdr:col>
      <xdr:colOff>129233</xdr:colOff>
      <xdr:row>18</xdr:row>
      <xdr:rowOff>23732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8F6DD0A5-8C5F-F940-B2B0-453BF0CA8FD1}"/>
            </a:ext>
          </a:extLst>
        </xdr:cNvPr>
        <xdr:cNvCxnSpPr>
          <a:cxnSpLocks/>
          <a:stCxn id="63" idx="4"/>
          <a:endCxn id="60" idx="0"/>
        </xdr:cNvCxnSpPr>
      </xdr:nvCxnSpPr>
      <xdr:spPr>
        <a:xfrm>
          <a:off x="12489385" y="3991694"/>
          <a:ext cx="860548" cy="6802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183298</xdr:colOff>
      <xdr:row>12</xdr:row>
      <xdr:rowOff>84780</xdr:rowOff>
    </xdr:from>
    <xdr:to>
      <xdr:col>29</xdr:col>
      <xdr:colOff>320703</xdr:colOff>
      <xdr:row>14</xdr:row>
      <xdr:rowOff>42485</xdr:rowOff>
    </xdr:to>
    <xdr:sp macro="" textlink="">
      <xdr:nvSpPr>
        <xdr:cNvPr id="67" name="TextBox 36">
          <a:extLst>
            <a:ext uri="{FF2B5EF4-FFF2-40B4-BE49-F238E27FC236}">
              <a16:creationId xmlns:a16="http://schemas.microsoft.com/office/drawing/2014/main" id="{6BBE33C9-74D8-4D47-B879-A5D425ED5E7D}"/>
            </a:ext>
          </a:extLst>
        </xdr:cNvPr>
        <xdr:cNvSpPr txBox="1"/>
      </xdr:nvSpPr>
      <xdr:spPr>
        <a:xfrm>
          <a:off x="12349898" y="3247080"/>
          <a:ext cx="493005" cy="4530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30</xdr:col>
      <xdr:colOff>261627</xdr:colOff>
      <xdr:row>13</xdr:row>
      <xdr:rowOff>205462</xdr:rowOff>
    </xdr:from>
    <xdr:to>
      <xdr:col>31</xdr:col>
      <xdr:colOff>339738</xdr:colOff>
      <xdr:row>15</xdr:row>
      <xdr:rowOff>75065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2499FDE9-FACB-8647-BD09-801AE8730EAC}"/>
            </a:ext>
          </a:extLst>
        </xdr:cNvPr>
        <xdr:cNvSpPr/>
      </xdr:nvSpPr>
      <xdr:spPr>
        <a:xfrm>
          <a:off x="13139427" y="3609062"/>
          <a:ext cx="421011" cy="3649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30</xdr:col>
      <xdr:colOff>312427</xdr:colOff>
      <xdr:row>12</xdr:row>
      <xdr:rowOff>92101</xdr:rowOff>
    </xdr:from>
    <xdr:to>
      <xdr:col>32</xdr:col>
      <xdr:colOff>119632</xdr:colOff>
      <xdr:row>14</xdr:row>
      <xdr:rowOff>49806</xdr:rowOff>
    </xdr:to>
    <xdr:sp macro="" textlink="">
      <xdr:nvSpPr>
        <xdr:cNvPr id="69" name="TextBox 38">
          <a:extLst>
            <a:ext uri="{FF2B5EF4-FFF2-40B4-BE49-F238E27FC236}">
              <a16:creationId xmlns:a16="http://schemas.microsoft.com/office/drawing/2014/main" id="{6A6527E8-BFD0-B140-B3A6-51F8EFD85AFE}"/>
            </a:ext>
          </a:extLst>
        </xdr:cNvPr>
        <xdr:cNvSpPr txBox="1"/>
      </xdr:nvSpPr>
      <xdr:spPr>
        <a:xfrm>
          <a:off x="13190227" y="3254401"/>
          <a:ext cx="493005" cy="4530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31</xdr:col>
      <xdr:colOff>129233</xdr:colOff>
      <xdr:row>15</xdr:row>
      <xdr:rowOff>75065</xdr:rowOff>
    </xdr:from>
    <xdr:to>
      <xdr:col>31</xdr:col>
      <xdr:colOff>129233</xdr:colOff>
      <xdr:row>18</xdr:row>
      <xdr:rowOff>23732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31CEB77C-524F-CB4B-A27C-D0C63CAC2677}"/>
            </a:ext>
          </a:extLst>
        </xdr:cNvPr>
        <xdr:cNvCxnSpPr>
          <a:cxnSpLocks/>
          <a:stCxn id="68" idx="4"/>
          <a:endCxn id="60" idx="0"/>
        </xdr:cNvCxnSpPr>
      </xdr:nvCxnSpPr>
      <xdr:spPr>
        <a:xfrm>
          <a:off x="13349933" y="3973965"/>
          <a:ext cx="0" cy="6979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323521</xdr:colOff>
      <xdr:row>15</xdr:row>
      <xdr:rowOff>75065</xdr:rowOff>
    </xdr:from>
    <xdr:to>
      <xdr:col>31</xdr:col>
      <xdr:colOff>129233</xdr:colOff>
      <xdr:row>17</xdr:row>
      <xdr:rowOff>239632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1E4DD4AA-5616-EB42-AD94-68DFFEAF844C}"/>
            </a:ext>
          </a:extLst>
        </xdr:cNvPr>
        <xdr:cNvCxnSpPr>
          <a:cxnSpLocks/>
          <a:stCxn id="68" idx="4"/>
          <a:endCxn id="57" idx="0"/>
        </xdr:cNvCxnSpPr>
      </xdr:nvCxnSpPr>
      <xdr:spPr>
        <a:xfrm flipH="1">
          <a:off x="12490121" y="3973965"/>
          <a:ext cx="859812" cy="67256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219532</xdr:colOff>
      <xdr:row>15</xdr:row>
      <xdr:rowOff>75065</xdr:rowOff>
    </xdr:from>
    <xdr:to>
      <xdr:col>31</xdr:col>
      <xdr:colOff>129233</xdr:colOff>
      <xdr:row>17</xdr:row>
      <xdr:rowOff>239632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98C20D1-8C72-5048-929A-74974DC4178C}"/>
            </a:ext>
          </a:extLst>
        </xdr:cNvPr>
        <xdr:cNvCxnSpPr>
          <a:cxnSpLocks/>
          <a:stCxn id="68" idx="4"/>
          <a:endCxn id="53" idx="0"/>
        </xdr:cNvCxnSpPr>
      </xdr:nvCxnSpPr>
      <xdr:spPr>
        <a:xfrm flipH="1">
          <a:off x="11674932" y="3973965"/>
          <a:ext cx="1675001" cy="6725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139700</xdr:colOff>
      <xdr:row>15</xdr:row>
      <xdr:rowOff>177800</xdr:rowOff>
    </xdr:from>
    <xdr:to>
      <xdr:col>33</xdr:col>
      <xdr:colOff>12700</xdr:colOff>
      <xdr:row>17</xdr:row>
      <xdr:rowOff>214253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6011B11-AB01-464D-83BA-C51DF9644420}"/>
            </a:ext>
          </a:extLst>
        </xdr:cNvPr>
        <xdr:cNvSpPr txBox="1"/>
      </xdr:nvSpPr>
      <xdr:spPr>
        <a:xfrm>
          <a:off x="12827000" y="4102100"/>
          <a:ext cx="6223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?</a:t>
          </a:r>
          <a:r>
            <a:rPr lang="en-US" sz="1600" b="0" i="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⋅X</a:t>
          </a:r>
          <a:r>
            <a:rPr lang="en-US" sz="1600" b="0" i="0" baseline="-25000">
              <a:solidFill>
                <a:srgbClr val="FF0000"/>
              </a:solidFill>
              <a:effectLst/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  <a:endParaRPr lang="en-US" sz="1600">
            <a:solidFill>
              <a:srgbClr val="FF0000"/>
            </a:solidFill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35</xdr:col>
      <xdr:colOff>0</xdr:colOff>
      <xdr:row>13</xdr:row>
      <xdr:rowOff>210491</xdr:rowOff>
    </xdr:from>
    <xdr:to>
      <xdr:col>36</xdr:col>
      <xdr:colOff>65411</xdr:colOff>
      <xdr:row>15</xdr:row>
      <xdr:rowOff>80094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61F57F32-7368-FF49-94E5-E74AB28B42BA}"/>
            </a:ext>
          </a:extLst>
        </xdr:cNvPr>
        <xdr:cNvSpPr/>
      </xdr:nvSpPr>
      <xdr:spPr>
        <a:xfrm>
          <a:off x="10883900" y="3652191"/>
          <a:ext cx="446411" cy="3522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35</xdr:col>
      <xdr:colOff>9026</xdr:colOff>
      <xdr:row>17</xdr:row>
      <xdr:rowOff>239632</xdr:rowOff>
    </xdr:from>
    <xdr:to>
      <xdr:col>36</xdr:col>
      <xdr:colOff>74437</xdr:colOff>
      <xdr:row>19</xdr:row>
      <xdr:rowOff>121935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815DF370-DB61-8F4B-9C57-24FE0590E3A3}"/>
            </a:ext>
          </a:extLst>
        </xdr:cNvPr>
        <xdr:cNvSpPr/>
      </xdr:nvSpPr>
      <xdr:spPr>
        <a:xfrm>
          <a:off x="10892926" y="4646532"/>
          <a:ext cx="4464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35</xdr:col>
      <xdr:colOff>210506</xdr:colOff>
      <xdr:row>15</xdr:row>
      <xdr:rowOff>80094</xdr:rowOff>
    </xdr:from>
    <xdr:to>
      <xdr:col>35</xdr:col>
      <xdr:colOff>219532</xdr:colOff>
      <xdr:row>17</xdr:row>
      <xdr:rowOff>239632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C1404F6F-D48D-F94A-AEDA-708C34316696}"/>
            </a:ext>
          </a:extLst>
        </xdr:cNvPr>
        <xdr:cNvCxnSpPr>
          <a:cxnSpLocks/>
          <a:stCxn id="74" idx="4"/>
          <a:endCxn id="75" idx="0"/>
        </xdr:cNvCxnSpPr>
      </xdr:nvCxnSpPr>
      <xdr:spPr>
        <a:xfrm>
          <a:off x="11094406" y="4004394"/>
          <a:ext cx="9026" cy="6421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66898</xdr:colOff>
      <xdr:row>12</xdr:row>
      <xdr:rowOff>76200</xdr:rowOff>
    </xdr:from>
    <xdr:to>
      <xdr:col>36</xdr:col>
      <xdr:colOff>204303</xdr:colOff>
      <xdr:row>14</xdr:row>
      <xdr:rowOff>46605</xdr:rowOff>
    </xdr:to>
    <xdr:sp macro="" textlink="">
      <xdr:nvSpPr>
        <xdr:cNvPr id="77" name="TextBox 10">
          <a:extLst>
            <a:ext uri="{FF2B5EF4-FFF2-40B4-BE49-F238E27FC236}">
              <a16:creationId xmlns:a16="http://schemas.microsoft.com/office/drawing/2014/main" id="{8ECB6214-FDD0-6441-9EF1-3508F80046A8}"/>
            </a:ext>
          </a:extLst>
        </xdr:cNvPr>
        <xdr:cNvSpPr txBox="1"/>
      </xdr:nvSpPr>
      <xdr:spPr>
        <a:xfrm>
          <a:off x="10950798" y="3276600"/>
          <a:ext cx="518405" cy="4530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35</xdr:col>
      <xdr:colOff>114968</xdr:colOff>
      <xdr:row>19</xdr:row>
      <xdr:rowOff>46292</xdr:rowOff>
    </xdr:from>
    <xdr:to>
      <xdr:col>36</xdr:col>
      <xdr:colOff>216330</xdr:colOff>
      <xdr:row>21</xdr:row>
      <xdr:rowOff>42097</xdr:rowOff>
    </xdr:to>
    <xdr:sp macro="" textlink="">
      <xdr:nvSpPr>
        <xdr:cNvPr id="78" name="TextBox 13">
          <a:extLst>
            <a:ext uri="{FF2B5EF4-FFF2-40B4-BE49-F238E27FC236}">
              <a16:creationId xmlns:a16="http://schemas.microsoft.com/office/drawing/2014/main" id="{786C9433-2FBF-EC48-A586-6423EEB40A30}"/>
            </a:ext>
          </a:extLst>
        </xdr:cNvPr>
        <xdr:cNvSpPr txBox="1"/>
      </xdr:nvSpPr>
      <xdr:spPr>
        <a:xfrm>
          <a:off x="10998868" y="4935792"/>
          <a:ext cx="482362" cy="4657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1</a:t>
          </a:r>
        </a:p>
      </xdr:txBody>
    </xdr:sp>
    <xdr:clientData/>
  </xdr:twoCellAnchor>
  <xdr:twoCellAnchor>
    <xdr:from>
      <xdr:col>37</xdr:col>
      <xdr:colOff>113015</xdr:colOff>
      <xdr:row>17</xdr:row>
      <xdr:rowOff>239632</xdr:rowOff>
    </xdr:from>
    <xdr:to>
      <xdr:col>38</xdr:col>
      <xdr:colOff>178426</xdr:colOff>
      <xdr:row>19</xdr:row>
      <xdr:rowOff>121935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DF8EE3FA-708F-B443-95E0-CC1C37C39CF7}"/>
            </a:ext>
          </a:extLst>
        </xdr:cNvPr>
        <xdr:cNvSpPr/>
      </xdr:nvSpPr>
      <xdr:spPr>
        <a:xfrm>
          <a:off x="11746215" y="4646532"/>
          <a:ext cx="4210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35</xdr:col>
      <xdr:colOff>210506</xdr:colOff>
      <xdr:row>15</xdr:row>
      <xdr:rowOff>80094</xdr:rowOff>
    </xdr:from>
    <xdr:to>
      <xdr:col>37</xdr:col>
      <xdr:colOff>323521</xdr:colOff>
      <xdr:row>17</xdr:row>
      <xdr:rowOff>239632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6582E45-81DA-504D-B847-B63154D90465}"/>
            </a:ext>
          </a:extLst>
        </xdr:cNvPr>
        <xdr:cNvCxnSpPr>
          <a:cxnSpLocks/>
          <a:stCxn id="74" idx="4"/>
          <a:endCxn id="79" idx="0"/>
        </xdr:cNvCxnSpPr>
      </xdr:nvCxnSpPr>
      <xdr:spPr>
        <a:xfrm>
          <a:off x="11094406" y="4004394"/>
          <a:ext cx="862315" cy="6421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210616</xdr:colOff>
      <xdr:row>19</xdr:row>
      <xdr:rowOff>58992</xdr:rowOff>
    </xdr:from>
    <xdr:to>
      <xdr:col>38</xdr:col>
      <xdr:colOff>311978</xdr:colOff>
      <xdr:row>21</xdr:row>
      <xdr:rowOff>67497</xdr:rowOff>
    </xdr:to>
    <xdr:sp macro="" textlink="">
      <xdr:nvSpPr>
        <xdr:cNvPr id="81" name="TextBox 24">
          <a:extLst>
            <a:ext uri="{FF2B5EF4-FFF2-40B4-BE49-F238E27FC236}">
              <a16:creationId xmlns:a16="http://schemas.microsoft.com/office/drawing/2014/main" id="{7CAA866C-296B-D84F-9E3E-F28AB306DD10}"/>
            </a:ext>
          </a:extLst>
        </xdr:cNvPr>
        <xdr:cNvSpPr txBox="1"/>
      </xdr:nvSpPr>
      <xdr:spPr>
        <a:xfrm>
          <a:off x="11843816" y="4948492"/>
          <a:ext cx="456962" cy="478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39</xdr:col>
      <xdr:colOff>261627</xdr:colOff>
      <xdr:row>18</xdr:row>
      <xdr:rowOff>23732</xdr:rowOff>
    </xdr:from>
    <xdr:to>
      <xdr:col>40</xdr:col>
      <xdr:colOff>339738</xdr:colOff>
      <xdr:row>19</xdr:row>
      <xdr:rowOff>147335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C20FEBBD-B6F4-BA44-869E-2FF24C8C68E0}"/>
            </a:ext>
          </a:extLst>
        </xdr:cNvPr>
        <xdr:cNvSpPr/>
      </xdr:nvSpPr>
      <xdr:spPr>
        <a:xfrm>
          <a:off x="12618727" y="4671932"/>
          <a:ext cx="459111" cy="364903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40</xdr:col>
      <xdr:colOff>238</xdr:colOff>
      <xdr:row>19</xdr:row>
      <xdr:rowOff>71692</xdr:rowOff>
    </xdr:from>
    <xdr:to>
      <xdr:col>41</xdr:col>
      <xdr:colOff>114300</xdr:colOff>
      <xdr:row>21</xdr:row>
      <xdr:rowOff>80197</xdr:rowOff>
    </xdr:to>
    <xdr:sp macro="" textlink="">
      <xdr:nvSpPr>
        <xdr:cNvPr id="83" name="TextBox 22">
          <a:extLst>
            <a:ext uri="{FF2B5EF4-FFF2-40B4-BE49-F238E27FC236}">
              <a16:creationId xmlns:a16="http://schemas.microsoft.com/office/drawing/2014/main" id="{F8303FC2-B127-C44E-A490-08A1FD66879A}"/>
            </a:ext>
          </a:extLst>
        </xdr:cNvPr>
        <xdr:cNvSpPr txBox="1"/>
      </xdr:nvSpPr>
      <xdr:spPr>
        <a:xfrm>
          <a:off x="12738338" y="4961192"/>
          <a:ext cx="495062" cy="4784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Y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35</xdr:col>
      <xdr:colOff>210506</xdr:colOff>
      <xdr:row>15</xdr:row>
      <xdr:rowOff>80094</xdr:rowOff>
    </xdr:from>
    <xdr:to>
      <xdr:col>40</xdr:col>
      <xdr:colOff>129233</xdr:colOff>
      <xdr:row>18</xdr:row>
      <xdr:rowOff>23732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AD0B35A5-BC5E-AF49-8F69-E5D7743AF30D}"/>
            </a:ext>
          </a:extLst>
        </xdr:cNvPr>
        <xdr:cNvCxnSpPr>
          <a:cxnSpLocks/>
          <a:stCxn id="74" idx="4"/>
          <a:endCxn id="82" idx="0"/>
        </xdr:cNvCxnSpPr>
      </xdr:nvCxnSpPr>
      <xdr:spPr>
        <a:xfrm>
          <a:off x="11094406" y="4004394"/>
          <a:ext cx="1772927" cy="6675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112279</xdr:colOff>
      <xdr:row>13</xdr:row>
      <xdr:rowOff>223191</xdr:rowOff>
    </xdr:from>
    <xdr:to>
      <xdr:col>38</xdr:col>
      <xdr:colOff>177690</xdr:colOff>
      <xdr:row>15</xdr:row>
      <xdr:rowOff>92794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3070BDB4-B62E-844D-92DC-2A2FFC010027}"/>
            </a:ext>
          </a:extLst>
        </xdr:cNvPr>
        <xdr:cNvSpPr/>
      </xdr:nvSpPr>
      <xdr:spPr>
        <a:xfrm>
          <a:off x="11745479" y="3664891"/>
          <a:ext cx="421011" cy="3522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35</xdr:col>
      <xdr:colOff>219532</xdr:colOff>
      <xdr:row>15</xdr:row>
      <xdr:rowOff>92794</xdr:rowOff>
    </xdr:from>
    <xdr:to>
      <xdr:col>37</xdr:col>
      <xdr:colOff>322785</xdr:colOff>
      <xdr:row>17</xdr:row>
      <xdr:rowOff>239632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68B6FE0D-2999-FD40-B5B9-3F3283D818CE}"/>
            </a:ext>
          </a:extLst>
        </xdr:cNvPr>
        <xdr:cNvCxnSpPr>
          <a:cxnSpLocks/>
          <a:stCxn id="85" idx="4"/>
          <a:endCxn id="75" idx="0"/>
        </xdr:cNvCxnSpPr>
      </xdr:nvCxnSpPr>
      <xdr:spPr>
        <a:xfrm flipH="1">
          <a:off x="11103432" y="4017094"/>
          <a:ext cx="852553" cy="6294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322785</xdr:colOff>
      <xdr:row>15</xdr:row>
      <xdr:rowOff>92794</xdr:rowOff>
    </xdr:from>
    <xdr:to>
      <xdr:col>37</xdr:col>
      <xdr:colOff>323521</xdr:colOff>
      <xdr:row>17</xdr:row>
      <xdr:rowOff>239632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B458C0A3-D42E-5148-B4B9-FCDEDAE12144}"/>
            </a:ext>
          </a:extLst>
        </xdr:cNvPr>
        <xdr:cNvCxnSpPr>
          <a:cxnSpLocks/>
          <a:stCxn id="85" idx="4"/>
          <a:endCxn id="79" idx="0"/>
        </xdr:cNvCxnSpPr>
      </xdr:nvCxnSpPr>
      <xdr:spPr>
        <a:xfrm>
          <a:off x="11955985" y="4017094"/>
          <a:ext cx="736" cy="6294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322785</xdr:colOff>
      <xdr:row>15</xdr:row>
      <xdr:rowOff>92794</xdr:rowOff>
    </xdr:from>
    <xdr:to>
      <xdr:col>40</xdr:col>
      <xdr:colOff>129233</xdr:colOff>
      <xdr:row>18</xdr:row>
      <xdr:rowOff>23732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A2E505B7-92AE-644F-9869-9B46BAEBACF1}"/>
            </a:ext>
          </a:extLst>
        </xdr:cNvPr>
        <xdr:cNvCxnSpPr>
          <a:cxnSpLocks/>
          <a:stCxn id="85" idx="4"/>
          <a:endCxn id="82" idx="0"/>
        </xdr:cNvCxnSpPr>
      </xdr:nvCxnSpPr>
      <xdr:spPr>
        <a:xfrm>
          <a:off x="11955985" y="4017094"/>
          <a:ext cx="911348" cy="6548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183298</xdr:colOff>
      <xdr:row>12</xdr:row>
      <xdr:rowOff>84780</xdr:rowOff>
    </xdr:from>
    <xdr:to>
      <xdr:col>38</xdr:col>
      <xdr:colOff>320703</xdr:colOff>
      <xdr:row>14</xdr:row>
      <xdr:rowOff>42485</xdr:rowOff>
    </xdr:to>
    <xdr:sp macro="" textlink="">
      <xdr:nvSpPr>
        <xdr:cNvPr id="89" name="TextBox 36">
          <a:extLst>
            <a:ext uri="{FF2B5EF4-FFF2-40B4-BE49-F238E27FC236}">
              <a16:creationId xmlns:a16="http://schemas.microsoft.com/office/drawing/2014/main" id="{B310893E-DE18-F543-9718-56E2EE35CA1E}"/>
            </a:ext>
          </a:extLst>
        </xdr:cNvPr>
        <xdr:cNvSpPr txBox="1"/>
      </xdr:nvSpPr>
      <xdr:spPr>
        <a:xfrm>
          <a:off x="11816498" y="3285180"/>
          <a:ext cx="493005" cy="4403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2</a:t>
          </a:r>
        </a:p>
      </xdr:txBody>
    </xdr:sp>
    <xdr:clientData/>
  </xdr:twoCellAnchor>
  <xdr:twoCellAnchor>
    <xdr:from>
      <xdr:col>39</xdr:col>
      <xdr:colOff>261627</xdr:colOff>
      <xdr:row>13</xdr:row>
      <xdr:rowOff>205462</xdr:rowOff>
    </xdr:from>
    <xdr:to>
      <xdr:col>40</xdr:col>
      <xdr:colOff>339738</xdr:colOff>
      <xdr:row>15</xdr:row>
      <xdr:rowOff>75065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7E06C0E7-D440-0446-85A0-6D034A0D1317}"/>
            </a:ext>
          </a:extLst>
        </xdr:cNvPr>
        <xdr:cNvSpPr/>
      </xdr:nvSpPr>
      <xdr:spPr>
        <a:xfrm>
          <a:off x="12618727" y="3647162"/>
          <a:ext cx="459111" cy="35220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>
            <a:latin typeface="Hannotate TC" panose="03000500000000000000" pitchFamily="66" charset="-120"/>
            <a:ea typeface="Hannotate TC" panose="03000500000000000000" pitchFamily="66" charset="-120"/>
          </a:endParaRPr>
        </a:p>
      </xdr:txBody>
    </xdr:sp>
    <xdr:clientData/>
  </xdr:twoCellAnchor>
  <xdr:twoCellAnchor>
    <xdr:from>
      <xdr:col>39</xdr:col>
      <xdr:colOff>312427</xdr:colOff>
      <xdr:row>12</xdr:row>
      <xdr:rowOff>92101</xdr:rowOff>
    </xdr:from>
    <xdr:to>
      <xdr:col>41</xdr:col>
      <xdr:colOff>119632</xdr:colOff>
      <xdr:row>14</xdr:row>
      <xdr:rowOff>49806</xdr:rowOff>
    </xdr:to>
    <xdr:sp macro="" textlink="">
      <xdr:nvSpPr>
        <xdr:cNvPr id="91" name="TextBox 38">
          <a:extLst>
            <a:ext uri="{FF2B5EF4-FFF2-40B4-BE49-F238E27FC236}">
              <a16:creationId xmlns:a16="http://schemas.microsoft.com/office/drawing/2014/main" id="{61DC8C78-C916-FF41-8CF7-441A56DC0193}"/>
            </a:ext>
          </a:extLst>
        </xdr:cNvPr>
        <xdr:cNvSpPr txBox="1"/>
      </xdr:nvSpPr>
      <xdr:spPr>
        <a:xfrm>
          <a:off x="12669527" y="3292501"/>
          <a:ext cx="569205" cy="4403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latin typeface="Hannotate TC" panose="03000500000000000000" pitchFamily="66" charset="-120"/>
              <a:ea typeface="Hannotate TC" panose="03000500000000000000" pitchFamily="66" charset="-120"/>
            </a:rPr>
            <a:t>X</a:t>
          </a:r>
          <a:r>
            <a:rPr lang="en-US" sz="1400" baseline="-25000">
              <a:latin typeface="Hannotate TC" panose="03000500000000000000" pitchFamily="66" charset="-120"/>
              <a:ea typeface="Hannotate TC" panose="03000500000000000000" pitchFamily="66" charset="-120"/>
            </a:rPr>
            <a:t>3</a:t>
          </a:r>
        </a:p>
      </xdr:txBody>
    </xdr:sp>
    <xdr:clientData/>
  </xdr:twoCellAnchor>
  <xdr:twoCellAnchor>
    <xdr:from>
      <xdr:col>40</xdr:col>
      <xdr:colOff>129233</xdr:colOff>
      <xdr:row>15</xdr:row>
      <xdr:rowOff>75065</xdr:rowOff>
    </xdr:from>
    <xdr:to>
      <xdr:col>40</xdr:col>
      <xdr:colOff>129233</xdr:colOff>
      <xdr:row>18</xdr:row>
      <xdr:rowOff>23732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71E20D7E-BACC-FB4E-A060-4F8A20F35A59}"/>
            </a:ext>
          </a:extLst>
        </xdr:cNvPr>
        <xdr:cNvCxnSpPr>
          <a:cxnSpLocks/>
          <a:stCxn id="90" idx="4"/>
          <a:endCxn id="82" idx="0"/>
        </xdr:cNvCxnSpPr>
      </xdr:nvCxnSpPr>
      <xdr:spPr>
        <a:xfrm>
          <a:off x="12867333" y="3999365"/>
          <a:ext cx="0" cy="6725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323521</xdr:colOff>
      <xdr:row>15</xdr:row>
      <xdr:rowOff>75065</xdr:rowOff>
    </xdr:from>
    <xdr:to>
      <xdr:col>40</xdr:col>
      <xdr:colOff>129233</xdr:colOff>
      <xdr:row>17</xdr:row>
      <xdr:rowOff>239632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2A07B1A5-6FBD-A548-A13B-437ED7CBC7BD}"/>
            </a:ext>
          </a:extLst>
        </xdr:cNvPr>
        <xdr:cNvCxnSpPr>
          <a:cxnSpLocks/>
          <a:stCxn id="90" idx="4"/>
          <a:endCxn id="79" idx="0"/>
        </xdr:cNvCxnSpPr>
      </xdr:nvCxnSpPr>
      <xdr:spPr>
        <a:xfrm flipH="1">
          <a:off x="11956721" y="3999365"/>
          <a:ext cx="910612" cy="6471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219532</xdr:colOff>
      <xdr:row>15</xdr:row>
      <xdr:rowOff>75065</xdr:rowOff>
    </xdr:from>
    <xdr:to>
      <xdr:col>40</xdr:col>
      <xdr:colOff>129233</xdr:colOff>
      <xdr:row>17</xdr:row>
      <xdr:rowOff>239632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86948AA5-1C52-D146-917A-B6D48245507A}"/>
            </a:ext>
          </a:extLst>
        </xdr:cNvPr>
        <xdr:cNvCxnSpPr>
          <a:cxnSpLocks/>
          <a:stCxn id="90" idx="4"/>
          <a:endCxn id="75" idx="0"/>
        </xdr:cNvCxnSpPr>
      </xdr:nvCxnSpPr>
      <xdr:spPr>
        <a:xfrm flipH="1">
          <a:off x="11103432" y="3999365"/>
          <a:ext cx="1763901" cy="64716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292100</xdr:colOff>
      <xdr:row>17</xdr:row>
      <xdr:rowOff>203200</xdr:rowOff>
    </xdr:from>
    <xdr:to>
      <xdr:col>41</xdr:col>
      <xdr:colOff>215900</xdr:colOff>
      <xdr:row>19</xdr:row>
      <xdr:rowOff>239653</xdr:rowOff>
    </xdr:to>
    <xdr:sp macro="" textlink="">
      <xdr:nvSpPr>
        <xdr:cNvPr id="96" name="TextBox 32">
          <a:extLst>
            <a:ext uri="{FF2B5EF4-FFF2-40B4-BE49-F238E27FC236}">
              <a16:creationId xmlns:a16="http://schemas.microsoft.com/office/drawing/2014/main" id="{B9211047-106E-7045-9E06-9231297B36A0}"/>
            </a:ext>
          </a:extLst>
        </xdr:cNvPr>
        <xdr:cNvSpPr txBox="1"/>
      </xdr:nvSpPr>
      <xdr:spPr>
        <a:xfrm>
          <a:off x="16459200" y="4610100"/>
          <a:ext cx="673100" cy="519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FF0000"/>
              </a:solidFill>
              <a:latin typeface="Hannotate TC" panose="03000500000000000000" pitchFamily="66" charset="-120"/>
              <a:ea typeface="Hannotate TC" panose="03000500000000000000" pitchFamily="66" charset="-120"/>
            </a:rPr>
            <a:t>+?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y-hand.ai/v/w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y-hand.ai/v/w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by-hand.ai/v/w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by-hand.ai/v/w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by-hand.ai/v/w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9A4B-5D45-B242-BD82-6967E251B652}">
  <dimension ref="A1:AI20"/>
  <sheetViews>
    <sheetView tabSelected="1" zoomScaleNormal="100" workbookViewId="0">
      <pane ySplit="1" topLeftCell="A2" activePane="bottomLeft" state="frozen"/>
      <selection pane="bottomLeft" activeCell="S1" sqref="S1"/>
    </sheetView>
  </sheetViews>
  <sheetFormatPr baseColWidth="10" defaultColWidth="11" defaultRowHeight="16" x14ac:dyDescent="0.2"/>
  <cols>
    <col min="2" max="2" width="4.83203125" customWidth="1"/>
    <col min="3" max="4" width="5.1640625" customWidth="1"/>
    <col min="5" max="6" width="4.6640625" customWidth="1"/>
    <col min="7" max="7" width="4" customWidth="1"/>
    <col min="8" max="8" width="9.6640625" customWidth="1"/>
    <col min="9" max="9" width="5" customWidth="1"/>
    <col min="10" max="10" width="4.83203125" customWidth="1"/>
    <col min="11" max="11" width="5.33203125" customWidth="1"/>
    <col min="12" max="12" width="4.6640625" customWidth="1"/>
    <col min="13" max="13" width="4.5" customWidth="1"/>
    <col min="14" max="14" width="4.83203125" customWidth="1"/>
    <col min="15" max="15" width="9.33203125" customWidth="1"/>
    <col min="16" max="17" width="4.83203125" customWidth="1"/>
    <col min="18" max="18" width="5.33203125" customWidth="1"/>
    <col min="19" max="19" width="4.5" customWidth="1"/>
    <col min="20" max="20" width="4.6640625" customWidth="1"/>
    <col min="21" max="21" width="4.83203125" customWidth="1"/>
    <col min="22" max="22" width="9.33203125" customWidth="1"/>
    <col min="23" max="24" width="4.33203125" customWidth="1"/>
    <col min="25" max="25" width="4.6640625" customWidth="1"/>
    <col min="26" max="26" width="4.33203125" customWidth="1"/>
    <col min="27" max="27" width="4.5" customWidth="1"/>
    <col min="28" max="28" width="4.33203125" customWidth="1"/>
    <col min="29" max="29" width="10" customWidth="1"/>
    <col min="30" max="30" width="4.6640625" customWidth="1"/>
    <col min="31" max="31" width="5.33203125" customWidth="1"/>
    <col min="32" max="32" width="5.1640625" customWidth="1"/>
    <col min="33" max="34" width="5" customWidth="1"/>
    <col min="35" max="35" width="4.6640625" customWidth="1"/>
  </cols>
  <sheetData>
    <row r="1" spans="1:35" s="2" customFormat="1" ht="19" customHeight="1" x14ac:dyDescent="0.25">
      <c r="A1" s="2" t="s">
        <v>44</v>
      </c>
      <c r="B1" s="1"/>
      <c r="C1" s="1"/>
      <c r="D1" s="1"/>
      <c r="F1" s="1"/>
      <c r="I1" s="1"/>
      <c r="J1" s="1"/>
      <c r="M1" s="5"/>
      <c r="O1" s="5" t="s">
        <v>42</v>
      </c>
      <c r="S1" s="62" t="s">
        <v>50</v>
      </c>
    </row>
    <row r="2" spans="1:35" s="2" customFormat="1" ht="19" x14ac:dyDescent="0.25">
      <c r="B2" s="1"/>
      <c r="C2" s="1"/>
      <c r="D2" s="1"/>
      <c r="F2" s="1"/>
      <c r="I2" s="1"/>
      <c r="J2" s="1"/>
      <c r="O2" s="1"/>
    </row>
    <row r="3" spans="1:35" ht="20" thickBot="1" x14ac:dyDescent="0.3">
      <c r="A3" s="2"/>
      <c r="B3" s="2" t="str">
        <f>IF(ISBLANK(F9)=TRUE,"NOT DONE",IF(B5=F9,"CORRECT", "INCORRECT"))</f>
        <v>CORRECT</v>
      </c>
      <c r="C3" s="2"/>
      <c r="D3" s="2"/>
      <c r="E3" s="2"/>
      <c r="F3" s="2"/>
      <c r="I3" s="2" t="str">
        <f>IF(ISBLANK(M9)=TRUE,"NOT DONE",IF(I5=M9,"CORRECT", "INCORRECT"))</f>
        <v>CORRECT</v>
      </c>
      <c r="J3" s="2"/>
      <c r="K3" s="2"/>
      <c r="L3" s="2"/>
      <c r="M3" s="2"/>
      <c r="P3" s="2" t="str">
        <f>IF(ISBLANK(T9)=TRUE,"NOT DONE",IF(P5=T9,"CORRECT", "INCORRECT"))</f>
        <v>CORRECT</v>
      </c>
      <c r="Q3" s="2"/>
      <c r="R3" s="2"/>
      <c r="S3" s="2"/>
      <c r="T3" s="2"/>
      <c r="W3" s="2" t="str">
        <f>IF(ISBLANK(AA10)=TRUE,"NOT DONE",IF(W5=AA10,"CORRECT", "INCORRECT"))</f>
        <v>CORRECT</v>
      </c>
      <c r="X3" s="2"/>
      <c r="Y3" s="2"/>
      <c r="Z3" s="2"/>
      <c r="AA3" s="2"/>
      <c r="AD3" s="2" t="str">
        <f>IF(ISBLANK(AH11)=TRUE,"NOT DONE",IF(AD5=AH11,"CORRECT", "INCORRECT"))</f>
        <v>CORRECT</v>
      </c>
      <c r="AE3" s="2"/>
      <c r="AF3" s="2"/>
      <c r="AG3" s="2"/>
      <c r="AH3" s="2"/>
    </row>
    <row r="4" spans="1:35" ht="19" customHeight="1" x14ac:dyDescent="0.25">
      <c r="A4" s="2"/>
      <c r="B4" s="80" t="s">
        <v>0</v>
      </c>
      <c r="C4" s="81"/>
      <c r="D4" s="81"/>
      <c r="E4" s="81"/>
      <c r="F4" s="81"/>
      <c r="G4" s="82"/>
      <c r="I4" s="80" t="s">
        <v>1</v>
      </c>
      <c r="J4" s="81"/>
      <c r="K4" s="81"/>
      <c r="L4" s="81"/>
      <c r="M4" s="81"/>
      <c r="N4" s="82"/>
      <c r="P4" s="80" t="s">
        <v>2</v>
      </c>
      <c r="Q4" s="81"/>
      <c r="R4" s="81"/>
      <c r="S4" s="81"/>
      <c r="T4" s="81"/>
      <c r="U4" s="82"/>
      <c r="W4" s="80" t="s">
        <v>3</v>
      </c>
      <c r="X4" s="81"/>
      <c r="Y4" s="81"/>
      <c r="Z4" s="81"/>
      <c r="AA4" s="81"/>
      <c r="AB4" s="82"/>
      <c r="AD4" s="80" t="s">
        <v>4</v>
      </c>
      <c r="AE4" s="81"/>
      <c r="AF4" s="81"/>
      <c r="AG4" s="81"/>
      <c r="AH4" s="81"/>
      <c r="AI4" s="82"/>
    </row>
    <row r="5" spans="1:35" ht="19" x14ac:dyDescent="0.25">
      <c r="A5" s="2"/>
      <c r="B5" s="14">
        <f>C9*F7+D9</f>
        <v>12</v>
      </c>
      <c r="C5" s="2"/>
      <c r="D5" s="2"/>
      <c r="E5" s="2"/>
      <c r="F5" s="2"/>
      <c r="G5" s="63"/>
      <c r="I5" s="14">
        <f>J9*M7+K9</f>
        <v>14</v>
      </c>
      <c r="J5" s="2"/>
      <c r="K5" s="2"/>
      <c r="L5" s="2"/>
      <c r="M5" s="2"/>
      <c r="N5" s="63"/>
      <c r="P5" s="14">
        <f>Q9*T7+R9</f>
        <v>11</v>
      </c>
      <c r="Q5" s="2"/>
      <c r="R5" s="2"/>
      <c r="S5" s="2"/>
      <c r="T5" s="2"/>
      <c r="U5" s="63"/>
      <c r="W5" s="14">
        <f>AA7*X10+Y10</f>
        <v>10</v>
      </c>
      <c r="X5" s="2"/>
      <c r="Y5" s="2"/>
      <c r="Z5" s="2"/>
      <c r="AA5" s="2"/>
      <c r="AB5" s="63"/>
      <c r="AD5" s="14">
        <f>AH7*AE11+AF11</f>
        <v>2</v>
      </c>
      <c r="AE5" s="2"/>
      <c r="AF5" s="2"/>
      <c r="AG5" s="2"/>
      <c r="AH5" s="2"/>
      <c r="AI5" s="63"/>
    </row>
    <row r="6" spans="1:35" ht="19" customHeight="1" x14ac:dyDescent="0.25">
      <c r="A6" s="2"/>
      <c r="B6" s="10"/>
      <c r="C6" s="1"/>
      <c r="D6" s="1"/>
      <c r="E6" s="1"/>
      <c r="F6" s="47" t="s">
        <v>46</v>
      </c>
      <c r="G6" s="64"/>
      <c r="I6" s="10"/>
      <c r="J6" s="1"/>
      <c r="K6" s="1"/>
      <c r="L6" s="1"/>
      <c r="M6" s="47" t="s">
        <v>46</v>
      </c>
      <c r="N6" s="64"/>
      <c r="P6" s="10"/>
      <c r="Q6" s="1"/>
      <c r="R6" s="1"/>
      <c r="S6" s="1"/>
      <c r="T6" s="47" t="s">
        <v>46</v>
      </c>
      <c r="U6" s="64"/>
      <c r="W6" s="10"/>
      <c r="X6" s="1"/>
      <c r="Y6" s="1"/>
      <c r="Z6" s="1"/>
      <c r="AA6" s="47" t="s">
        <v>46</v>
      </c>
      <c r="AB6" s="64"/>
      <c r="AD6" s="10"/>
      <c r="AE6" s="1"/>
      <c r="AF6" s="1"/>
      <c r="AG6" s="1"/>
      <c r="AH6" s="47" t="s">
        <v>46</v>
      </c>
      <c r="AI6" s="64"/>
    </row>
    <row r="7" spans="1:35" ht="19" x14ac:dyDescent="0.25">
      <c r="A7" s="2"/>
      <c r="B7" s="10"/>
      <c r="C7" s="1"/>
      <c r="D7" s="1"/>
      <c r="E7" s="1"/>
      <c r="F7" s="16">
        <v>4</v>
      </c>
      <c r="G7" s="64"/>
      <c r="I7" s="10"/>
      <c r="J7" s="1"/>
      <c r="K7" s="1"/>
      <c r="L7" s="1"/>
      <c r="M7" s="16">
        <v>4</v>
      </c>
      <c r="N7" s="64"/>
      <c r="P7" s="10"/>
      <c r="Q7" s="1"/>
      <c r="R7" s="1"/>
      <c r="S7" s="1"/>
      <c r="T7" s="16">
        <v>4</v>
      </c>
      <c r="U7" s="64"/>
      <c r="W7" s="10"/>
      <c r="X7" s="1"/>
      <c r="Y7" s="1"/>
      <c r="Z7" s="1"/>
      <c r="AA7" s="16">
        <v>4</v>
      </c>
      <c r="AB7" s="64"/>
      <c r="AD7" s="10"/>
      <c r="AE7" s="1"/>
      <c r="AF7" s="1"/>
      <c r="AG7" s="1"/>
      <c r="AH7" s="16">
        <v>2</v>
      </c>
      <c r="AI7" s="64"/>
    </row>
    <row r="8" spans="1:35" ht="19" customHeight="1" thickBot="1" x14ac:dyDescent="0.3">
      <c r="A8" s="2"/>
      <c r="B8" s="10"/>
      <c r="C8" s="47" t="s">
        <v>47</v>
      </c>
      <c r="D8" s="47" t="s">
        <v>48</v>
      </c>
      <c r="E8" s="1"/>
      <c r="F8" s="17">
        <v>1</v>
      </c>
      <c r="G8" s="64"/>
      <c r="I8" s="10"/>
      <c r="J8" s="47" t="s">
        <v>47</v>
      </c>
      <c r="K8" s="47" t="s">
        <v>48</v>
      </c>
      <c r="L8" s="1"/>
      <c r="M8" s="17">
        <v>1</v>
      </c>
      <c r="N8" s="64"/>
      <c r="P8" s="10"/>
      <c r="Q8" s="47" t="s">
        <v>47</v>
      </c>
      <c r="R8" s="47" t="s">
        <v>48</v>
      </c>
      <c r="S8" s="1"/>
      <c r="T8" s="17">
        <v>1</v>
      </c>
      <c r="U8" s="64"/>
      <c r="W8" s="10"/>
      <c r="X8" s="47" t="s">
        <v>47</v>
      </c>
      <c r="Y8" s="47" t="s">
        <v>48</v>
      </c>
      <c r="Z8" s="1"/>
      <c r="AA8" s="17">
        <v>1</v>
      </c>
      <c r="AB8" s="64"/>
      <c r="AD8" s="10"/>
      <c r="AE8" s="47" t="s">
        <v>47</v>
      </c>
      <c r="AF8" s="47" t="s">
        <v>48</v>
      </c>
      <c r="AG8" s="1"/>
      <c r="AH8" s="17">
        <v>1</v>
      </c>
      <c r="AI8" s="64"/>
    </row>
    <row r="9" spans="1:35" ht="19" customHeight="1" thickBot="1" x14ac:dyDescent="0.3">
      <c r="A9" s="2"/>
      <c r="B9" s="10"/>
      <c r="C9" s="18">
        <v>3</v>
      </c>
      <c r="D9" s="19">
        <v>0</v>
      </c>
      <c r="E9" s="65" t="s">
        <v>43</v>
      </c>
      <c r="F9" s="13">
        <v>12</v>
      </c>
      <c r="G9" s="66" t="s">
        <v>49</v>
      </c>
      <c r="I9" s="10"/>
      <c r="J9" s="18">
        <v>3</v>
      </c>
      <c r="K9" s="19">
        <v>2</v>
      </c>
      <c r="L9" s="65" t="s">
        <v>43</v>
      </c>
      <c r="M9" s="13">
        <v>14</v>
      </c>
      <c r="N9" s="66" t="s">
        <v>49</v>
      </c>
      <c r="P9" s="10"/>
      <c r="Q9" s="18">
        <v>3</v>
      </c>
      <c r="R9" s="19">
        <v>-1</v>
      </c>
      <c r="S9" s="65" t="s">
        <v>43</v>
      </c>
      <c r="T9" s="13">
        <v>11</v>
      </c>
      <c r="U9" s="66" t="s">
        <v>49</v>
      </c>
      <c r="W9" s="10"/>
      <c r="X9" s="20">
        <v>3</v>
      </c>
      <c r="Y9" s="21">
        <v>2</v>
      </c>
      <c r="Z9" s="65" t="s">
        <v>43</v>
      </c>
      <c r="AA9" s="24">
        <f>X9*AA7+Y9</f>
        <v>14</v>
      </c>
      <c r="AB9" s="67" t="s">
        <v>52</v>
      </c>
      <c r="AD9" s="10"/>
      <c r="AE9" s="20">
        <v>3</v>
      </c>
      <c r="AF9" s="21">
        <v>2</v>
      </c>
      <c r="AG9" s="65" t="s">
        <v>43</v>
      </c>
      <c r="AH9" s="24">
        <f>AE9*AH7+AF9</f>
        <v>8</v>
      </c>
      <c r="AI9" s="67" t="s">
        <v>52</v>
      </c>
    </row>
    <row r="10" spans="1:35" ht="18" customHeight="1" thickBot="1" x14ac:dyDescent="0.3">
      <c r="A10" s="2"/>
      <c r="B10" s="10"/>
      <c r="C10" s="1"/>
      <c r="D10" s="1"/>
      <c r="E10" s="1"/>
      <c r="F10" s="1"/>
      <c r="G10" s="64"/>
      <c r="I10" s="10"/>
      <c r="J10" s="1"/>
      <c r="K10" s="1"/>
      <c r="L10" s="1"/>
      <c r="M10" s="1"/>
      <c r="N10" s="64"/>
      <c r="P10" s="10"/>
      <c r="Q10" s="1"/>
      <c r="R10" s="1"/>
      <c r="S10" s="1"/>
      <c r="T10" s="1"/>
      <c r="U10" s="64"/>
      <c r="W10" s="10"/>
      <c r="X10" s="22">
        <v>3</v>
      </c>
      <c r="Y10" s="23">
        <v>-2</v>
      </c>
      <c r="Z10" s="65" t="s">
        <v>43</v>
      </c>
      <c r="AA10" s="13">
        <v>10</v>
      </c>
      <c r="AB10" s="66" t="s">
        <v>53</v>
      </c>
      <c r="AD10" s="10"/>
      <c r="AE10" s="25">
        <v>3</v>
      </c>
      <c r="AF10" s="26">
        <v>-2</v>
      </c>
      <c r="AG10" s="65" t="s">
        <v>43</v>
      </c>
      <c r="AH10" s="24">
        <f>AE10*AH7+AF10</f>
        <v>4</v>
      </c>
      <c r="AI10" s="66" t="s">
        <v>53</v>
      </c>
    </row>
    <row r="11" spans="1:35" ht="19" customHeight="1" thickBot="1" x14ac:dyDescent="0.3">
      <c r="A11" s="2"/>
      <c r="B11" s="83" t="s">
        <v>45</v>
      </c>
      <c r="C11" s="84"/>
      <c r="D11" s="84"/>
      <c r="E11" s="84"/>
      <c r="F11" s="84"/>
      <c r="G11" s="85"/>
      <c r="I11" s="83" t="s">
        <v>45</v>
      </c>
      <c r="J11" s="84"/>
      <c r="K11" s="84"/>
      <c r="L11" s="84"/>
      <c r="M11" s="84"/>
      <c r="N11" s="85"/>
      <c r="P11" s="83" t="s">
        <v>45</v>
      </c>
      <c r="Q11" s="84"/>
      <c r="R11" s="84"/>
      <c r="S11" s="84"/>
      <c r="T11" s="84"/>
      <c r="U11" s="85"/>
      <c r="W11" s="68"/>
      <c r="X11" s="1"/>
      <c r="Y11" s="65"/>
      <c r="Z11" s="1"/>
      <c r="AA11" s="1"/>
      <c r="AB11" s="63"/>
      <c r="AD11" s="68"/>
      <c r="AE11" s="22">
        <v>3</v>
      </c>
      <c r="AF11" s="23">
        <v>-4</v>
      </c>
      <c r="AG11" s="65" t="s">
        <v>43</v>
      </c>
      <c r="AH11" s="13">
        <v>2</v>
      </c>
      <c r="AI11" s="66" t="s">
        <v>54</v>
      </c>
    </row>
    <row r="12" spans="1:35" ht="19" customHeight="1" x14ac:dyDescent="0.25">
      <c r="A12" s="2"/>
      <c r="B12" s="15"/>
      <c r="C12" s="1"/>
      <c r="D12" s="65"/>
      <c r="E12" s="1"/>
      <c r="F12" s="1"/>
      <c r="G12" s="63"/>
      <c r="I12" s="15"/>
      <c r="J12" s="1"/>
      <c r="K12" s="65"/>
      <c r="L12" s="1"/>
      <c r="M12" s="1"/>
      <c r="N12" s="63"/>
      <c r="P12" s="15"/>
      <c r="Q12" s="1"/>
      <c r="R12" s="65"/>
      <c r="S12" s="1"/>
      <c r="T12" s="1"/>
      <c r="U12" s="63"/>
      <c r="W12" s="69"/>
      <c r="X12" s="1"/>
      <c r="Y12" s="65"/>
      <c r="Z12" s="1"/>
      <c r="AA12" s="1"/>
      <c r="AB12" s="70"/>
      <c r="AD12" s="69"/>
      <c r="AE12" s="1"/>
      <c r="AF12" s="65"/>
      <c r="AG12" s="1"/>
      <c r="AH12" s="1"/>
      <c r="AI12" s="70"/>
    </row>
    <row r="13" spans="1:35" ht="19" x14ac:dyDescent="0.25">
      <c r="A13" s="2"/>
      <c r="B13" s="15"/>
      <c r="C13" s="1"/>
      <c r="D13" s="65"/>
      <c r="E13" s="1"/>
      <c r="F13" s="1"/>
      <c r="G13" s="63"/>
      <c r="I13" s="15"/>
      <c r="J13" s="1"/>
      <c r="K13" s="65"/>
      <c r="L13" s="1"/>
      <c r="M13" s="1"/>
      <c r="N13" s="63"/>
      <c r="P13" s="15"/>
      <c r="Q13" s="1"/>
      <c r="R13" s="65"/>
      <c r="S13" s="1"/>
      <c r="T13" s="1"/>
      <c r="U13" s="63"/>
      <c r="W13" s="15"/>
      <c r="X13" s="1"/>
      <c r="Y13" s="65"/>
      <c r="Z13" s="1"/>
      <c r="AA13" s="1"/>
      <c r="AB13" s="63"/>
      <c r="AD13" s="15"/>
      <c r="AE13" s="1"/>
      <c r="AF13" s="65"/>
      <c r="AG13" s="1"/>
      <c r="AH13" s="1"/>
      <c r="AI13" s="63"/>
    </row>
    <row r="14" spans="1:35" ht="19" x14ac:dyDescent="0.25">
      <c r="A14" s="2"/>
      <c r="B14" s="15"/>
      <c r="C14" s="1"/>
      <c r="D14" s="65"/>
      <c r="E14" s="1"/>
      <c r="F14" s="1"/>
      <c r="G14" s="63"/>
      <c r="I14" s="15"/>
      <c r="J14" s="1"/>
      <c r="K14" s="65"/>
      <c r="L14" s="1"/>
      <c r="M14" s="1"/>
      <c r="N14" s="63"/>
      <c r="P14" s="15"/>
      <c r="Q14" s="1"/>
      <c r="R14" s="65"/>
      <c r="S14" s="1"/>
      <c r="T14" s="1"/>
      <c r="U14" s="63"/>
      <c r="W14" s="15"/>
      <c r="X14" s="1"/>
      <c r="Y14" s="65"/>
      <c r="Z14" s="1"/>
      <c r="AA14" s="1"/>
      <c r="AB14" s="63"/>
      <c r="AD14" s="15"/>
      <c r="AE14" s="1"/>
      <c r="AF14" s="65"/>
      <c r="AG14" s="1"/>
      <c r="AH14" s="1"/>
      <c r="AI14" s="63"/>
    </row>
    <row r="15" spans="1:35" ht="19" x14ac:dyDescent="0.25">
      <c r="A15" s="2"/>
      <c r="B15" s="15"/>
      <c r="C15" s="1"/>
      <c r="D15" s="65"/>
      <c r="E15" s="1"/>
      <c r="F15" s="1"/>
      <c r="G15" s="63"/>
      <c r="I15" s="15"/>
      <c r="J15" s="1"/>
      <c r="K15" s="65"/>
      <c r="L15" s="1"/>
      <c r="M15" s="1"/>
      <c r="N15" s="63"/>
      <c r="P15" s="15"/>
      <c r="Q15" s="1"/>
      <c r="R15" s="65"/>
      <c r="S15" s="1"/>
      <c r="T15" s="1"/>
      <c r="U15" s="63"/>
      <c r="W15" s="15"/>
      <c r="X15" s="1"/>
      <c r="Y15" s="65"/>
      <c r="Z15" s="1"/>
      <c r="AA15" s="1"/>
      <c r="AB15" s="63"/>
      <c r="AD15" s="15"/>
      <c r="AE15" s="1"/>
      <c r="AF15" s="65"/>
      <c r="AG15" s="1"/>
      <c r="AH15" s="1"/>
      <c r="AI15" s="63"/>
    </row>
    <row r="16" spans="1:35" ht="19" x14ac:dyDescent="0.25">
      <c r="A16" s="2"/>
      <c r="B16" s="15"/>
      <c r="C16" s="1"/>
      <c r="D16" s="65"/>
      <c r="E16" s="1"/>
      <c r="F16" s="1"/>
      <c r="G16" s="63"/>
      <c r="I16" s="15"/>
      <c r="J16" s="1"/>
      <c r="K16" s="65"/>
      <c r="L16" s="1"/>
      <c r="M16" s="1"/>
      <c r="N16" s="63"/>
      <c r="P16" s="15"/>
      <c r="Q16" s="1"/>
      <c r="R16" s="65"/>
      <c r="S16" s="1"/>
      <c r="T16" s="1"/>
      <c r="U16" s="63"/>
      <c r="W16" s="15"/>
      <c r="AB16" s="63"/>
      <c r="AD16" s="15"/>
      <c r="AE16" s="1"/>
      <c r="AF16" s="65"/>
      <c r="AG16" s="1"/>
      <c r="AH16" s="1"/>
      <c r="AI16" s="63"/>
    </row>
    <row r="17" spans="1:35" ht="19" x14ac:dyDescent="0.25">
      <c r="A17" s="2"/>
      <c r="B17" s="15"/>
      <c r="C17" s="1"/>
      <c r="D17" s="65"/>
      <c r="E17" s="1"/>
      <c r="F17" s="1"/>
      <c r="G17" s="63"/>
      <c r="I17" s="15"/>
      <c r="J17" s="1"/>
      <c r="K17" s="65"/>
      <c r="L17" s="1"/>
      <c r="M17" s="1"/>
      <c r="N17" s="63"/>
      <c r="P17" s="15"/>
      <c r="Q17" s="1"/>
      <c r="R17" s="65"/>
      <c r="S17" s="1"/>
      <c r="T17" s="1"/>
      <c r="U17" s="63"/>
      <c r="W17" s="15"/>
      <c r="X17" s="2"/>
      <c r="Y17" s="2"/>
      <c r="Z17" s="2"/>
      <c r="AA17" s="2"/>
      <c r="AB17" s="63"/>
      <c r="AD17" s="15"/>
      <c r="AI17" s="63"/>
    </row>
    <row r="18" spans="1:35" ht="20" thickBot="1" x14ac:dyDescent="0.3">
      <c r="A18" s="2"/>
      <c r="B18" s="11"/>
      <c r="C18" s="12"/>
      <c r="D18" s="12"/>
      <c r="E18" s="12"/>
      <c r="F18" s="12"/>
      <c r="G18" s="71"/>
      <c r="I18" s="11"/>
      <c r="J18" s="12"/>
      <c r="K18" s="12"/>
      <c r="L18" s="12"/>
      <c r="M18" s="12"/>
      <c r="N18" s="71"/>
      <c r="P18" s="11"/>
      <c r="Q18" s="12"/>
      <c r="R18" s="12"/>
      <c r="S18" s="12"/>
      <c r="T18" s="12"/>
      <c r="U18" s="71"/>
      <c r="W18" s="11"/>
      <c r="X18" s="72"/>
      <c r="Y18" s="72"/>
      <c r="Z18" s="72"/>
      <c r="AA18" s="72"/>
      <c r="AB18" s="71"/>
      <c r="AD18" s="10"/>
      <c r="AE18" s="2"/>
      <c r="AF18" s="2"/>
      <c r="AG18" s="2"/>
      <c r="AH18" s="2"/>
      <c r="AI18" s="63"/>
    </row>
    <row r="19" spans="1:35" ht="20" thickBot="1" x14ac:dyDescent="0.3">
      <c r="A19" s="2"/>
      <c r="B19" s="2"/>
      <c r="C19" s="2"/>
      <c r="D19" s="2"/>
      <c r="E19" s="2"/>
      <c r="F19" s="2"/>
      <c r="AD19" s="73"/>
      <c r="AE19" s="72"/>
      <c r="AF19" s="72"/>
      <c r="AG19" s="72"/>
      <c r="AH19" s="72"/>
      <c r="AI19" s="71"/>
    </row>
    <row r="20" spans="1:35" ht="19" x14ac:dyDescent="0.25">
      <c r="A20" s="2"/>
      <c r="B20" s="2"/>
      <c r="C20" s="2"/>
      <c r="D20" s="2"/>
      <c r="E20" s="2"/>
      <c r="F20" s="2"/>
    </row>
  </sheetData>
  <mergeCells count="8">
    <mergeCell ref="B4:G4"/>
    <mergeCell ref="B11:G11"/>
    <mergeCell ref="AD4:AI4"/>
    <mergeCell ref="I4:N4"/>
    <mergeCell ref="I11:N11"/>
    <mergeCell ref="P4:U4"/>
    <mergeCell ref="P11:U11"/>
    <mergeCell ref="W4:AB4"/>
  </mergeCells>
  <hyperlinks>
    <hyperlink ref="S1" r:id="rId1" xr:uid="{5D80921D-A4FC-D544-B52C-2180A5E1740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51B1-A2F3-B541-AC24-4DB708B5D11A}">
  <dimension ref="A1:AN21"/>
  <sheetViews>
    <sheetView zoomScaleNormal="100" workbookViewId="0">
      <pane ySplit="1" topLeftCell="A2" activePane="bottomLeft" state="frozen"/>
      <selection pane="bottomLeft" activeCell="Q6" sqref="Q6"/>
    </sheetView>
  </sheetViews>
  <sheetFormatPr baseColWidth="10" defaultColWidth="11" defaultRowHeight="16" x14ac:dyDescent="0.2"/>
  <cols>
    <col min="2" max="2" width="4.6640625" customWidth="1"/>
    <col min="3" max="5" width="4.5" customWidth="1"/>
    <col min="6" max="6" width="4.6640625" customWidth="1"/>
    <col min="7" max="8" width="4.83203125" customWidth="1"/>
    <col min="9" max="9" width="10" customWidth="1"/>
    <col min="10" max="10" width="4.83203125" customWidth="1"/>
    <col min="11" max="11" width="5" customWidth="1"/>
    <col min="12" max="12" width="4.5" customWidth="1"/>
    <col min="13" max="14" width="5" customWidth="1"/>
    <col min="15" max="15" width="4.83203125" customWidth="1"/>
    <col min="16" max="16" width="4.5" customWidth="1"/>
    <col min="17" max="17" width="10.5" customWidth="1"/>
    <col min="18" max="18" width="4.5" customWidth="1"/>
    <col min="19" max="19" width="4.6640625" customWidth="1"/>
    <col min="20" max="20" width="4.5" customWidth="1"/>
    <col min="21" max="22" width="4.6640625" customWidth="1"/>
    <col min="23" max="24" width="4.5" customWidth="1"/>
    <col min="25" max="25" width="10.1640625" customWidth="1"/>
    <col min="26" max="26" width="4.6640625" customWidth="1"/>
    <col min="27" max="27" width="4.33203125" customWidth="1"/>
    <col min="28" max="28" width="4.6640625" customWidth="1"/>
    <col min="29" max="29" width="4.83203125" customWidth="1"/>
    <col min="30" max="31" width="4.5" customWidth="1"/>
    <col min="32" max="32" width="4.33203125" customWidth="1"/>
    <col min="33" max="33" width="10.33203125" customWidth="1"/>
    <col min="34" max="34" width="5" customWidth="1"/>
    <col min="35" max="36" width="4.6640625" customWidth="1"/>
    <col min="37" max="37" width="4.5" customWidth="1"/>
    <col min="38" max="38" width="4.6640625" customWidth="1"/>
    <col min="39" max="40" width="4.83203125" customWidth="1"/>
  </cols>
  <sheetData>
    <row r="1" spans="1:40" s="2" customFormat="1" ht="19" customHeight="1" x14ac:dyDescent="0.25">
      <c r="A1" s="2" t="s">
        <v>44</v>
      </c>
      <c r="B1" s="1"/>
      <c r="C1" s="1"/>
      <c r="D1" s="1"/>
      <c r="F1" s="1"/>
      <c r="M1" s="61"/>
      <c r="N1" s="6" t="s">
        <v>42</v>
      </c>
      <c r="P1" s="74" t="s">
        <v>50</v>
      </c>
    </row>
    <row r="3" spans="1:40" ht="20" thickBot="1" x14ac:dyDescent="0.3">
      <c r="B3" s="2" t="str">
        <f>IF(ISBLANK(G9)=TRUE,"NOT DONE",IF(B5=G9,"CORRECT", "INCORRECT"))</f>
        <v>NOT DONE</v>
      </c>
      <c r="C3" s="2"/>
      <c r="D3" s="2"/>
      <c r="E3" s="2"/>
      <c r="F3" s="2"/>
      <c r="G3" s="2"/>
      <c r="J3" s="2" t="str">
        <f>IF(ISBLANK(O9)=TRUE,"NOT DONE",IF(J5=O9,"CORRECT", "INCORRECT"))</f>
        <v>NOT DONE</v>
      </c>
      <c r="K3" s="2"/>
      <c r="L3" s="2"/>
      <c r="M3" s="2"/>
      <c r="N3" s="2"/>
      <c r="O3" s="2"/>
      <c r="R3" s="2" t="str">
        <f>IF(ISBLANK(W9)=TRUE,"NOT DONE",IF(R5=W9,"CORRECT", "INCORRECT"))</f>
        <v>NOT DONE</v>
      </c>
      <c r="S3" s="2"/>
      <c r="T3" s="2"/>
      <c r="U3" s="2"/>
      <c r="V3" s="2"/>
      <c r="W3" s="2"/>
      <c r="Z3" s="2" t="str">
        <f>IF(ISBLANK(AE10)=TRUE,"NOT DONE",IF(Z5=AE10,"CORRECT", "INCORRECT"))</f>
        <v>NOT DONE</v>
      </c>
      <c r="AA3" s="2"/>
      <c r="AB3" s="2"/>
      <c r="AC3" s="2"/>
      <c r="AD3" s="2"/>
      <c r="AE3" s="2"/>
      <c r="AH3" s="2" t="str">
        <f>IF(ISBLANK(AM10)=TRUE,"NOT DONE",IF(AH5=AM10,"CORRECT", "INCORRECT"))</f>
        <v>NOT DONE</v>
      </c>
      <c r="AI3" s="2"/>
      <c r="AJ3" s="2"/>
      <c r="AK3" s="2"/>
      <c r="AL3" s="2"/>
      <c r="AM3" s="2"/>
    </row>
    <row r="4" spans="1:40" ht="19" x14ac:dyDescent="0.25">
      <c r="B4" s="80" t="s">
        <v>5</v>
      </c>
      <c r="C4" s="81"/>
      <c r="D4" s="81"/>
      <c r="E4" s="81"/>
      <c r="F4" s="81"/>
      <c r="G4" s="81"/>
      <c r="H4" s="82"/>
      <c r="J4" s="80" t="s">
        <v>6</v>
      </c>
      <c r="K4" s="81"/>
      <c r="L4" s="81"/>
      <c r="M4" s="81"/>
      <c r="N4" s="81"/>
      <c r="O4" s="81"/>
      <c r="P4" s="82"/>
      <c r="R4" s="80" t="s">
        <v>7</v>
      </c>
      <c r="S4" s="81"/>
      <c r="T4" s="81"/>
      <c r="U4" s="81"/>
      <c r="V4" s="81"/>
      <c r="W4" s="81"/>
      <c r="X4" s="82"/>
      <c r="Z4" s="80" t="s">
        <v>8</v>
      </c>
      <c r="AA4" s="81"/>
      <c r="AB4" s="81"/>
      <c r="AC4" s="81"/>
      <c r="AD4" s="81"/>
      <c r="AE4" s="81"/>
      <c r="AF4" s="82"/>
      <c r="AH4" s="80" t="s">
        <v>9</v>
      </c>
      <c r="AI4" s="81"/>
      <c r="AJ4" s="81"/>
      <c r="AK4" s="81"/>
      <c r="AL4" s="81"/>
      <c r="AM4" s="81"/>
      <c r="AN4" s="82"/>
    </row>
    <row r="5" spans="1:40" ht="19" x14ac:dyDescent="0.25">
      <c r="B5" s="14">
        <f>G6*C9+G7*D9+E9</f>
        <v>1</v>
      </c>
      <c r="C5" s="27"/>
      <c r="D5" s="2"/>
      <c r="E5" s="2"/>
      <c r="F5" s="2"/>
      <c r="G5" s="2"/>
      <c r="H5" s="63"/>
      <c r="J5" s="14">
        <f>O6*K9+O7*L9+M9</f>
        <v>9</v>
      </c>
      <c r="K5" s="27"/>
      <c r="L5" s="2"/>
      <c r="M5" s="2"/>
      <c r="N5" s="2"/>
      <c r="O5" s="2"/>
      <c r="P5" s="63"/>
      <c r="R5" s="14">
        <f>S9*W6+T9*W7+U9</f>
        <v>1</v>
      </c>
      <c r="S5" s="27"/>
      <c r="T5" s="2"/>
      <c r="U5" s="2"/>
      <c r="V5" s="2"/>
      <c r="W5" s="2"/>
      <c r="X5" s="63"/>
      <c r="Z5" s="9">
        <f>AA10*AE6+AB10*AE7+AC10</f>
        <v>3</v>
      </c>
      <c r="AA5" s="27"/>
      <c r="AB5" s="2"/>
      <c r="AC5" s="2"/>
      <c r="AD5" s="2"/>
      <c r="AE5" s="2"/>
      <c r="AF5" s="63"/>
      <c r="AH5" s="9">
        <f>AI10*AM6+AJ10*AM7+AK10</f>
        <v>2</v>
      </c>
      <c r="AI5" s="27"/>
      <c r="AJ5" s="2"/>
      <c r="AK5" s="2"/>
      <c r="AL5" s="2"/>
      <c r="AM5" s="2"/>
      <c r="AN5" s="63"/>
    </row>
    <row r="6" spans="1:40" ht="20" customHeight="1" x14ac:dyDescent="0.25">
      <c r="B6" s="10"/>
      <c r="C6" s="2"/>
      <c r="D6" s="1"/>
      <c r="E6" s="1"/>
      <c r="F6" s="1"/>
      <c r="G6" s="29">
        <v>2</v>
      </c>
      <c r="H6" s="66" t="s">
        <v>55</v>
      </c>
      <c r="J6" s="10"/>
      <c r="K6" s="2"/>
      <c r="L6" s="1"/>
      <c r="M6" s="1"/>
      <c r="N6" s="1"/>
      <c r="O6" s="29">
        <v>2</v>
      </c>
      <c r="P6" s="66" t="s">
        <v>55</v>
      </c>
      <c r="R6" s="10"/>
      <c r="S6" s="2"/>
      <c r="T6" s="1"/>
      <c r="U6" s="1"/>
      <c r="V6" s="1"/>
      <c r="W6" s="29">
        <v>2</v>
      </c>
      <c r="X6" s="66" t="s">
        <v>55</v>
      </c>
      <c r="Z6" s="10"/>
      <c r="AA6" s="2"/>
      <c r="AB6" s="1"/>
      <c r="AC6" s="1"/>
      <c r="AD6" s="1"/>
      <c r="AE6" s="29">
        <v>2</v>
      </c>
      <c r="AF6" s="66" t="s">
        <v>55</v>
      </c>
      <c r="AH6" s="10"/>
      <c r="AI6" s="2"/>
      <c r="AJ6" s="1"/>
      <c r="AK6" s="1"/>
      <c r="AL6" s="1"/>
      <c r="AM6" s="29">
        <v>3</v>
      </c>
      <c r="AN6" s="66" t="s">
        <v>55</v>
      </c>
    </row>
    <row r="7" spans="1:40" ht="18" customHeight="1" x14ac:dyDescent="0.25">
      <c r="B7" s="10"/>
      <c r="C7" s="2"/>
      <c r="D7" s="1"/>
      <c r="E7" s="1"/>
      <c r="F7" s="1"/>
      <c r="G7" s="29">
        <v>1</v>
      </c>
      <c r="H7" s="66" t="s">
        <v>56</v>
      </c>
      <c r="J7" s="10"/>
      <c r="K7" s="2"/>
      <c r="L7" s="1"/>
      <c r="M7" s="1"/>
      <c r="N7" s="1"/>
      <c r="O7" s="29">
        <v>3</v>
      </c>
      <c r="P7" s="66" t="s">
        <v>56</v>
      </c>
      <c r="R7" s="10"/>
      <c r="S7" s="2"/>
      <c r="T7" s="1"/>
      <c r="U7" s="1"/>
      <c r="V7" s="1"/>
      <c r="W7" s="29">
        <v>-1</v>
      </c>
      <c r="X7" s="66" t="s">
        <v>56</v>
      </c>
      <c r="Z7" s="10"/>
      <c r="AA7" s="2"/>
      <c r="AB7" s="1"/>
      <c r="AC7" s="1"/>
      <c r="AD7" s="1"/>
      <c r="AE7" s="29">
        <v>1</v>
      </c>
      <c r="AF7" s="66" t="s">
        <v>56</v>
      </c>
      <c r="AH7" s="10"/>
      <c r="AI7" s="2"/>
      <c r="AJ7" s="1"/>
      <c r="AK7" s="1"/>
      <c r="AL7" s="1"/>
      <c r="AM7" s="29">
        <v>2</v>
      </c>
      <c r="AN7" s="66" t="s">
        <v>56</v>
      </c>
    </row>
    <row r="8" spans="1:40" ht="20" customHeight="1" thickBot="1" x14ac:dyDescent="0.3">
      <c r="B8" s="10"/>
      <c r="C8" s="86" t="s">
        <v>47</v>
      </c>
      <c r="D8" s="86"/>
      <c r="E8" s="47" t="s">
        <v>48</v>
      </c>
      <c r="F8" s="1"/>
      <c r="G8" s="17">
        <v>1</v>
      </c>
      <c r="H8" s="64"/>
      <c r="J8" s="10"/>
      <c r="K8" s="86" t="s">
        <v>47</v>
      </c>
      <c r="L8" s="86"/>
      <c r="M8" s="47" t="s">
        <v>48</v>
      </c>
      <c r="N8" s="1"/>
      <c r="O8" s="17">
        <v>1</v>
      </c>
      <c r="P8" s="64"/>
      <c r="R8" s="10"/>
      <c r="S8" s="86" t="s">
        <v>47</v>
      </c>
      <c r="T8" s="86"/>
      <c r="U8" s="47" t="s">
        <v>48</v>
      </c>
      <c r="V8" s="1"/>
      <c r="W8" s="17">
        <v>1</v>
      </c>
      <c r="X8" s="64"/>
      <c r="Z8" s="10"/>
      <c r="AA8" s="86" t="s">
        <v>47</v>
      </c>
      <c r="AB8" s="86"/>
      <c r="AC8" s="47" t="s">
        <v>48</v>
      </c>
      <c r="AD8" s="1"/>
      <c r="AE8" s="17">
        <v>1</v>
      </c>
      <c r="AF8" s="64"/>
      <c r="AH8" s="10"/>
      <c r="AI8" s="86" t="s">
        <v>47</v>
      </c>
      <c r="AJ8" s="86"/>
      <c r="AK8" s="47" t="s">
        <v>48</v>
      </c>
      <c r="AL8" s="1"/>
      <c r="AM8" s="17">
        <v>1</v>
      </c>
      <c r="AN8" s="64"/>
    </row>
    <row r="9" spans="1:40" ht="20" thickBot="1" x14ac:dyDescent="0.3">
      <c r="B9" s="10"/>
      <c r="C9" s="30">
        <v>1</v>
      </c>
      <c r="D9" s="31">
        <v>-1</v>
      </c>
      <c r="E9" s="32">
        <v>0</v>
      </c>
      <c r="F9" s="28" t="s">
        <v>43</v>
      </c>
      <c r="G9" s="13"/>
      <c r="H9" s="66" t="s">
        <v>49</v>
      </c>
      <c r="J9" s="10"/>
      <c r="K9" s="30">
        <v>2</v>
      </c>
      <c r="L9" s="31">
        <v>1</v>
      </c>
      <c r="M9" s="32">
        <v>2</v>
      </c>
      <c r="N9" s="28" t="s">
        <v>43</v>
      </c>
      <c r="O9" s="13"/>
      <c r="P9" s="66" t="s">
        <v>49</v>
      </c>
      <c r="R9" s="10"/>
      <c r="S9" s="20">
        <v>1</v>
      </c>
      <c r="T9" s="37">
        <v>1</v>
      </c>
      <c r="U9" s="21">
        <v>0</v>
      </c>
      <c r="V9" s="28" t="s">
        <v>43</v>
      </c>
      <c r="W9" s="13"/>
      <c r="X9" s="67" t="s">
        <v>52</v>
      </c>
      <c r="Z9" s="10"/>
      <c r="AA9" s="20">
        <v>1</v>
      </c>
      <c r="AB9" s="37">
        <v>1</v>
      </c>
      <c r="AC9" s="21">
        <v>2</v>
      </c>
      <c r="AD9" s="28" t="s">
        <v>43</v>
      </c>
      <c r="AE9" s="16">
        <f>AA9*AE6+AB9*AE7+AC9</f>
        <v>5</v>
      </c>
      <c r="AF9" s="67" t="s">
        <v>52</v>
      </c>
      <c r="AH9" s="10"/>
      <c r="AI9" s="20">
        <v>1</v>
      </c>
      <c r="AJ9" s="37">
        <v>1</v>
      </c>
      <c r="AK9" s="21">
        <v>0</v>
      </c>
      <c r="AL9" s="28" t="s">
        <v>43</v>
      </c>
      <c r="AM9" s="16">
        <f>AI9*AM6+AJ9*AM7+AK9</f>
        <v>5</v>
      </c>
      <c r="AN9" s="67" t="s">
        <v>52</v>
      </c>
    </row>
    <row r="10" spans="1:40" ht="20" thickBot="1" x14ac:dyDescent="0.3">
      <c r="B10" s="68"/>
      <c r="D10" s="1"/>
      <c r="E10" s="65"/>
      <c r="F10" s="1"/>
      <c r="G10" s="1"/>
      <c r="H10" s="63"/>
      <c r="J10" s="68"/>
      <c r="L10" s="1"/>
      <c r="M10" s="65"/>
      <c r="N10" s="1"/>
      <c r="O10" s="1"/>
      <c r="P10" s="63"/>
      <c r="R10" s="68"/>
      <c r="S10" s="22">
        <v>1</v>
      </c>
      <c r="T10" s="38">
        <v>-1</v>
      </c>
      <c r="U10" s="23">
        <v>0</v>
      </c>
      <c r="V10" s="28" t="s">
        <v>43</v>
      </c>
      <c r="W10" s="29">
        <f>S10*W6+T10*W7+U10</f>
        <v>3</v>
      </c>
      <c r="X10" s="67" t="s">
        <v>53</v>
      </c>
      <c r="Z10" s="68"/>
      <c r="AA10" s="34">
        <v>1</v>
      </c>
      <c r="AB10" s="35">
        <v>-1</v>
      </c>
      <c r="AC10" s="36">
        <v>2</v>
      </c>
      <c r="AD10" s="28" t="s">
        <v>43</v>
      </c>
      <c r="AE10" s="56"/>
      <c r="AF10" s="67" t="s">
        <v>53</v>
      </c>
      <c r="AH10" s="68"/>
      <c r="AI10" s="25">
        <v>0</v>
      </c>
      <c r="AJ10" s="16">
        <v>1</v>
      </c>
      <c r="AK10" s="26">
        <v>0</v>
      </c>
      <c r="AL10" s="28" t="s">
        <v>43</v>
      </c>
      <c r="AM10" s="13"/>
      <c r="AN10" s="67" t="s">
        <v>53</v>
      </c>
    </row>
    <row r="11" spans="1:40" ht="20" thickBot="1" x14ac:dyDescent="0.3">
      <c r="B11" s="69"/>
      <c r="C11" s="75"/>
      <c r="D11" s="1"/>
      <c r="E11" s="65"/>
      <c r="F11" s="1"/>
      <c r="G11" s="1"/>
      <c r="H11" s="70"/>
      <c r="J11" s="69"/>
      <c r="K11" s="75"/>
      <c r="L11" s="1"/>
      <c r="M11" s="65"/>
      <c r="N11" s="1"/>
      <c r="O11" s="1"/>
      <c r="P11" s="70"/>
      <c r="R11" s="69"/>
      <c r="X11" s="70"/>
      <c r="Z11" s="69"/>
      <c r="AF11" s="70"/>
      <c r="AH11" s="69"/>
      <c r="AI11" s="34">
        <v>1</v>
      </c>
      <c r="AJ11" s="35">
        <v>-1</v>
      </c>
      <c r="AK11" s="36">
        <v>0</v>
      </c>
      <c r="AL11" s="28" t="s">
        <v>43</v>
      </c>
      <c r="AM11" s="16">
        <f>AI11*AM6+AM7*AJ11+AK11</f>
        <v>1</v>
      </c>
      <c r="AN11" s="67" t="s">
        <v>54</v>
      </c>
    </row>
    <row r="12" spans="1:40" ht="19" x14ac:dyDescent="0.25">
      <c r="B12" s="15"/>
      <c r="C12" s="1"/>
      <c r="D12" s="1"/>
      <c r="E12" s="65"/>
      <c r="F12" s="1"/>
      <c r="G12" s="1"/>
      <c r="H12" s="63"/>
      <c r="J12" s="15"/>
      <c r="K12" s="1"/>
      <c r="L12" s="1"/>
      <c r="M12" s="65"/>
      <c r="N12" s="1"/>
      <c r="O12" s="1"/>
      <c r="P12" s="63"/>
      <c r="R12" s="68"/>
      <c r="S12" s="1"/>
      <c r="T12" s="75"/>
      <c r="U12" s="1"/>
      <c r="V12" s="65"/>
      <c r="W12" s="1"/>
      <c r="X12" s="39"/>
      <c r="Z12" s="68"/>
      <c r="AA12" s="1"/>
      <c r="AB12" s="75"/>
      <c r="AC12" s="1"/>
      <c r="AD12" s="65"/>
      <c r="AE12" s="1"/>
      <c r="AF12" s="39"/>
      <c r="AH12" s="68"/>
      <c r="AN12" s="63"/>
    </row>
    <row r="13" spans="1:40" ht="19" x14ac:dyDescent="0.25">
      <c r="B13" s="15"/>
      <c r="C13" s="1"/>
      <c r="D13" s="1"/>
      <c r="E13" s="65"/>
      <c r="F13" s="1"/>
      <c r="G13" s="1"/>
      <c r="H13" s="63"/>
      <c r="J13" s="15"/>
      <c r="K13" s="1"/>
      <c r="L13" s="1"/>
      <c r="M13" s="65"/>
      <c r="N13" s="1"/>
      <c r="O13" s="1"/>
      <c r="P13" s="63"/>
      <c r="R13" s="68"/>
      <c r="S13" s="1"/>
      <c r="T13" s="1"/>
      <c r="U13" s="1"/>
      <c r="V13" s="65"/>
      <c r="W13" s="1"/>
      <c r="X13" s="39"/>
      <c r="Z13" s="68"/>
      <c r="AA13" s="1"/>
      <c r="AB13" s="1"/>
      <c r="AC13" s="1"/>
      <c r="AD13" s="65"/>
      <c r="AE13" s="1"/>
      <c r="AF13" s="39"/>
      <c r="AH13" s="68"/>
      <c r="AN13" s="39"/>
    </row>
    <row r="14" spans="1:40" ht="19" x14ac:dyDescent="0.25">
      <c r="B14" s="15"/>
      <c r="C14" s="1"/>
      <c r="D14" s="1"/>
      <c r="E14" s="65"/>
      <c r="F14" s="1"/>
      <c r="G14" s="1"/>
      <c r="H14" s="63"/>
      <c r="J14" s="15"/>
      <c r="K14" s="1"/>
      <c r="L14" s="1"/>
      <c r="M14" s="65"/>
      <c r="N14" s="1"/>
      <c r="O14" s="1"/>
      <c r="P14" s="63"/>
      <c r="R14" s="68"/>
      <c r="S14" s="1"/>
      <c r="T14" s="1"/>
      <c r="U14" s="1"/>
      <c r="V14" s="65"/>
      <c r="W14" s="1"/>
      <c r="X14" s="39"/>
      <c r="Z14" s="68"/>
      <c r="AA14" s="1"/>
      <c r="AB14" s="1"/>
      <c r="AC14" s="1"/>
      <c r="AD14" s="65"/>
      <c r="AE14" s="1"/>
      <c r="AF14" s="39"/>
      <c r="AH14" s="68"/>
      <c r="AN14" s="39"/>
    </row>
    <row r="15" spans="1:40" ht="19" x14ac:dyDescent="0.25">
      <c r="B15" s="15"/>
      <c r="C15" s="1"/>
      <c r="H15" s="63"/>
      <c r="J15" s="15"/>
      <c r="K15" s="1"/>
      <c r="P15" s="63"/>
      <c r="R15" s="68"/>
      <c r="S15" s="1"/>
      <c r="T15" s="1"/>
      <c r="U15" s="1"/>
      <c r="V15" s="65"/>
      <c r="W15" s="1"/>
      <c r="X15" s="39"/>
      <c r="Z15" s="68"/>
      <c r="AA15" s="1"/>
      <c r="AB15" s="1"/>
      <c r="AC15" s="1"/>
      <c r="AD15" s="65"/>
      <c r="AE15" s="1"/>
      <c r="AF15" s="39"/>
      <c r="AH15" s="68"/>
      <c r="AN15" s="39"/>
    </row>
    <row r="16" spans="1:40" ht="19" x14ac:dyDescent="0.25">
      <c r="B16" s="15"/>
      <c r="C16" s="1"/>
      <c r="H16" s="63"/>
      <c r="J16" s="15"/>
      <c r="K16" s="1"/>
      <c r="P16" s="63"/>
      <c r="R16" s="68"/>
      <c r="S16" s="1"/>
      <c r="T16" s="1"/>
      <c r="X16" s="63"/>
      <c r="Z16" s="68"/>
      <c r="AA16" s="1"/>
      <c r="AB16" s="1"/>
      <c r="AF16" s="63"/>
      <c r="AH16" s="68"/>
      <c r="AN16" s="39"/>
    </row>
    <row r="17" spans="2:40" ht="19" x14ac:dyDescent="0.25">
      <c r="B17" s="15"/>
      <c r="C17" s="1"/>
      <c r="H17" s="63"/>
      <c r="J17" s="15"/>
      <c r="K17" s="1"/>
      <c r="P17" s="63"/>
      <c r="R17" s="68"/>
      <c r="S17" s="1"/>
      <c r="T17" s="1"/>
      <c r="X17" s="63"/>
      <c r="Z17" s="68"/>
      <c r="AA17" s="1"/>
      <c r="AB17" s="1"/>
      <c r="AF17" s="63"/>
      <c r="AH17" s="68"/>
      <c r="AN17" s="63"/>
    </row>
    <row r="18" spans="2:40" ht="19" x14ac:dyDescent="0.25">
      <c r="B18" s="15"/>
      <c r="C18" s="1"/>
      <c r="D18" s="2"/>
      <c r="E18" s="2"/>
      <c r="F18" s="2"/>
      <c r="G18" s="2"/>
      <c r="H18" s="63"/>
      <c r="J18" s="15"/>
      <c r="K18" s="1"/>
      <c r="L18" s="2"/>
      <c r="M18" s="2"/>
      <c r="N18" s="2"/>
      <c r="O18" s="2"/>
      <c r="P18" s="63"/>
      <c r="R18" s="68"/>
      <c r="S18" s="1"/>
      <c r="T18" s="1"/>
      <c r="X18" s="63"/>
      <c r="Z18" s="68"/>
      <c r="AA18" s="1"/>
      <c r="AB18" s="1"/>
      <c r="AF18" s="63"/>
      <c r="AH18" s="68"/>
      <c r="AN18" s="63"/>
    </row>
    <row r="19" spans="2:40" ht="20" thickBot="1" x14ac:dyDescent="0.3">
      <c r="B19" s="11"/>
      <c r="C19" s="12"/>
      <c r="D19" s="72"/>
      <c r="E19" s="72"/>
      <c r="F19" s="72"/>
      <c r="G19" s="72"/>
      <c r="H19" s="71"/>
      <c r="J19" s="11"/>
      <c r="K19" s="12"/>
      <c r="L19" s="72"/>
      <c r="M19" s="72"/>
      <c r="N19" s="72"/>
      <c r="O19" s="72"/>
      <c r="P19" s="71"/>
      <c r="R19" s="68"/>
      <c r="S19" s="2"/>
      <c r="T19" s="1"/>
      <c r="U19" s="2"/>
      <c r="V19" s="2"/>
      <c r="W19" s="2"/>
      <c r="X19" s="40"/>
      <c r="Z19" s="68"/>
      <c r="AA19" s="2"/>
      <c r="AB19" s="1"/>
      <c r="AC19" s="2"/>
      <c r="AD19" s="2"/>
      <c r="AE19" s="2"/>
      <c r="AF19" s="40"/>
      <c r="AH19" s="68"/>
      <c r="AN19" s="63"/>
    </row>
    <row r="20" spans="2:40" ht="20" thickBot="1" x14ac:dyDescent="0.3">
      <c r="R20" s="73"/>
      <c r="S20" s="72"/>
      <c r="T20" s="12"/>
      <c r="U20" s="72"/>
      <c r="V20" s="72"/>
      <c r="W20" s="72"/>
      <c r="X20" s="71"/>
      <c r="Z20" s="73"/>
      <c r="AA20" s="72"/>
      <c r="AB20" s="12"/>
      <c r="AC20" s="72"/>
      <c r="AD20" s="72"/>
      <c r="AE20" s="72"/>
      <c r="AF20" s="71"/>
      <c r="AH20" s="68"/>
      <c r="AN20" s="40"/>
    </row>
    <row r="21" spans="2:40" ht="17" thickBot="1" x14ac:dyDescent="0.25">
      <c r="AH21" s="73"/>
      <c r="AI21" s="72"/>
      <c r="AJ21" s="72"/>
      <c r="AK21" s="72"/>
      <c r="AL21" s="72"/>
      <c r="AM21" s="72"/>
      <c r="AN21" s="71"/>
    </row>
  </sheetData>
  <mergeCells count="10">
    <mergeCell ref="B4:H4"/>
    <mergeCell ref="C8:D8"/>
    <mergeCell ref="J4:P4"/>
    <mergeCell ref="AH4:AN4"/>
    <mergeCell ref="AI8:AJ8"/>
    <mergeCell ref="K8:L8"/>
    <mergeCell ref="R4:X4"/>
    <mergeCell ref="S8:T8"/>
    <mergeCell ref="Z4:AF4"/>
    <mergeCell ref="AA8:AB8"/>
  </mergeCells>
  <hyperlinks>
    <hyperlink ref="P1" r:id="rId1" xr:uid="{5546FD2C-4841-294A-8FD0-6BC005E41B7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CA51-81E0-194E-83C9-2EB882D0E921}">
  <dimension ref="A1:AQ21"/>
  <sheetViews>
    <sheetView workbookViewId="0">
      <pane ySplit="1" topLeftCell="A2" activePane="bottomLeft" state="frozen"/>
      <selection pane="bottomLeft" sqref="A1:XFD1"/>
    </sheetView>
  </sheetViews>
  <sheetFormatPr baseColWidth="10" defaultColWidth="11" defaultRowHeight="16" x14ac:dyDescent="0.2"/>
  <cols>
    <col min="2" max="2" width="4.83203125" customWidth="1"/>
    <col min="3" max="3" width="4.6640625" customWidth="1"/>
    <col min="4" max="4" width="4.5" customWidth="1"/>
    <col min="5" max="5" width="4.33203125" customWidth="1"/>
    <col min="6" max="6" width="4.6640625" customWidth="1"/>
    <col min="7" max="7" width="4.5" customWidth="1"/>
    <col min="8" max="8" width="4.6640625" customWidth="1"/>
    <col min="9" max="9" width="9.6640625" customWidth="1"/>
    <col min="10" max="11" width="4.5" customWidth="1"/>
    <col min="12" max="13" width="4.6640625" customWidth="1"/>
    <col min="14" max="14" width="4" customWidth="1"/>
    <col min="15" max="15" width="4.33203125" customWidth="1"/>
    <col min="16" max="17" width="4.5" customWidth="1"/>
    <col min="18" max="18" width="9.83203125" customWidth="1"/>
    <col min="19" max="22" width="4.6640625" customWidth="1"/>
    <col min="23" max="23" width="4.33203125" customWidth="1"/>
    <col min="24" max="24" width="4.6640625" customWidth="1"/>
    <col min="25" max="25" width="4.33203125" customWidth="1"/>
    <col min="26" max="26" width="4.6640625" customWidth="1"/>
    <col min="28" max="32" width="4.6640625" customWidth="1"/>
    <col min="33" max="35" width="4.5" customWidth="1"/>
    <col min="37" max="37" width="5.1640625" customWidth="1"/>
    <col min="38" max="38" width="5" customWidth="1"/>
    <col min="39" max="39" width="4.83203125" customWidth="1"/>
    <col min="40" max="40" width="5" customWidth="1"/>
    <col min="41" max="42" width="4.83203125" customWidth="1"/>
    <col min="43" max="43" width="5" customWidth="1"/>
  </cols>
  <sheetData>
    <row r="1" spans="1:43" s="2" customFormat="1" ht="19" x14ac:dyDescent="0.25">
      <c r="A1" s="2" t="s">
        <v>51</v>
      </c>
      <c r="B1" s="1"/>
      <c r="C1" s="1"/>
      <c r="D1" s="1"/>
      <c r="F1" s="1"/>
      <c r="G1" s="1"/>
      <c r="H1" s="1"/>
      <c r="I1" s="1"/>
      <c r="M1" s="1"/>
      <c r="N1" s="1"/>
      <c r="P1" s="5" t="s">
        <v>42</v>
      </c>
      <c r="S1" s="74" t="s">
        <v>50</v>
      </c>
    </row>
    <row r="3" spans="1:43" ht="20" thickBot="1" x14ac:dyDescent="0.3">
      <c r="B3" s="2" t="str">
        <f>IF(ISBLANK(G11)=TRUE,"NOT DONE",IF(B5=G11,"CORRECT", "INCORRECT"))</f>
        <v>NOT DONE</v>
      </c>
      <c r="C3" s="2"/>
      <c r="D3" s="2"/>
      <c r="E3" s="2"/>
      <c r="F3" s="2"/>
      <c r="G3" s="2"/>
      <c r="I3" s="7"/>
      <c r="J3" s="2" t="str">
        <f>IF(ISBLANK(P10)=TRUE,"NOT DONE",IF(J5=P10,"CORRECT", "INCORRECT"))</f>
        <v>NOT DONE</v>
      </c>
      <c r="K3" s="2"/>
      <c r="L3" s="2"/>
      <c r="M3" s="2"/>
      <c r="N3" s="2"/>
      <c r="O3" s="2"/>
      <c r="P3" s="2"/>
      <c r="R3" s="1"/>
      <c r="S3" s="2" t="str">
        <f>IF(ISBLANK(Y11)=TRUE,"NOT DONE",IF(S5=Y11,"CORRECT", "INCORRECT"))</f>
        <v>NOT DONE</v>
      </c>
      <c r="T3" s="2"/>
      <c r="U3" s="2"/>
      <c r="V3" s="2"/>
      <c r="W3" s="2"/>
      <c r="X3" s="2"/>
      <c r="Y3" s="2"/>
      <c r="AB3" s="2" t="str">
        <f>IF(ISBLANK(AH11)=TRUE,"NOT DONE",IF(AB5=AH11,"CORRECT", "INCORRECT"))</f>
        <v>NOT DONE</v>
      </c>
      <c r="AC3" s="2"/>
      <c r="AD3" s="2"/>
      <c r="AE3" s="2"/>
      <c r="AF3" s="2"/>
      <c r="AG3" s="2"/>
      <c r="AH3" s="2"/>
      <c r="AK3" s="2" t="str">
        <f>IF(ISBLANK(AL9)=TRUE,"NOT DONE",IF(AK5=AL9,"CORRECT", "INCORRECT"))</f>
        <v>NOT DONE</v>
      </c>
      <c r="AL3" s="2"/>
      <c r="AM3" s="2"/>
      <c r="AN3" s="2"/>
      <c r="AO3" s="2"/>
      <c r="AP3" s="2"/>
    </row>
    <row r="4" spans="1:43" ht="19" x14ac:dyDescent="0.25">
      <c r="B4" s="80" t="s">
        <v>10</v>
      </c>
      <c r="C4" s="81"/>
      <c r="D4" s="81"/>
      <c r="E4" s="81"/>
      <c r="F4" s="81"/>
      <c r="G4" s="81"/>
      <c r="H4" s="82"/>
      <c r="J4" s="80" t="s">
        <v>11</v>
      </c>
      <c r="K4" s="81"/>
      <c r="L4" s="81"/>
      <c r="M4" s="81"/>
      <c r="N4" s="81"/>
      <c r="O4" s="81"/>
      <c r="P4" s="81"/>
      <c r="Q4" s="82"/>
      <c r="S4" s="80" t="s">
        <v>12</v>
      </c>
      <c r="T4" s="81"/>
      <c r="U4" s="81"/>
      <c r="V4" s="81"/>
      <c r="W4" s="81"/>
      <c r="X4" s="81"/>
      <c r="Y4" s="81"/>
      <c r="Z4" s="82"/>
      <c r="AB4" s="80" t="s">
        <v>13</v>
      </c>
      <c r="AC4" s="81"/>
      <c r="AD4" s="81"/>
      <c r="AE4" s="81"/>
      <c r="AF4" s="81"/>
      <c r="AG4" s="81"/>
      <c r="AH4" s="81"/>
      <c r="AI4" s="82"/>
      <c r="AK4" s="80" t="s">
        <v>14</v>
      </c>
      <c r="AL4" s="81"/>
      <c r="AM4" s="81"/>
      <c r="AN4" s="81"/>
      <c r="AO4" s="81"/>
      <c r="AP4" s="81"/>
      <c r="AQ4" s="82"/>
    </row>
    <row r="5" spans="1:43" ht="19" x14ac:dyDescent="0.25">
      <c r="B5" s="9">
        <f>C11*G6+D11*G7+E11</f>
        <v>3</v>
      </c>
      <c r="C5" s="27"/>
      <c r="D5" s="2"/>
      <c r="E5" s="2"/>
      <c r="F5" s="2"/>
      <c r="G5" s="2"/>
      <c r="H5" s="63"/>
      <c r="J5" s="9">
        <f>K10*P6+L10*P7+M10*P8+N10</f>
        <v>6</v>
      </c>
      <c r="K5" s="41"/>
      <c r="L5" s="27"/>
      <c r="M5" s="2"/>
      <c r="N5" s="2"/>
      <c r="O5" s="2"/>
      <c r="P5" s="2"/>
      <c r="Q5" s="63"/>
      <c r="S5" s="9">
        <f>T11*Y6+U11*Y7+V11*Y8+W11</f>
        <v>4</v>
      </c>
      <c r="T5" s="41"/>
      <c r="U5" s="27"/>
      <c r="V5" s="2"/>
      <c r="W5" s="2"/>
      <c r="X5" s="2"/>
      <c r="Y5" s="2"/>
      <c r="Z5" s="63"/>
      <c r="AB5" s="9">
        <f>AC11*AH6+AD11*AH7+AE11*AH8+AF11</f>
        <v>3</v>
      </c>
      <c r="AC5" s="41"/>
      <c r="AD5" s="27"/>
      <c r="AE5" s="2"/>
      <c r="AF5" s="2"/>
      <c r="AG5" s="2"/>
      <c r="AH5" s="2"/>
      <c r="AI5" s="63"/>
      <c r="AK5" s="14">
        <f>(AP9-AN9-AP7*AM9)/AP6</f>
        <v>1</v>
      </c>
      <c r="AL5" s="27"/>
      <c r="AM5" s="2"/>
      <c r="AN5" s="2"/>
      <c r="AO5" s="2"/>
      <c r="AP5" s="2"/>
      <c r="AQ5" s="63"/>
    </row>
    <row r="6" spans="1:43" ht="19" x14ac:dyDescent="0.25">
      <c r="B6" s="10"/>
      <c r="C6" s="2"/>
      <c r="D6" s="1"/>
      <c r="E6" s="1"/>
      <c r="F6" s="1"/>
      <c r="G6" s="29">
        <v>4</v>
      </c>
      <c r="H6" s="66" t="s">
        <v>55</v>
      </c>
      <c r="J6" s="10"/>
      <c r="K6" s="2"/>
      <c r="L6" s="2"/>
      <c r="M6" s="1"/>
      <c r="N6" s="1"/>
      <c r="O6" s="1"/>
      <c r="P6" s="29">
        <v>1</v>
      </c>
      <c r="Q6" s="66" t="s">
        <v>55</v>
      </c>
      <c r="S6" s="10"/>
      <c r="T6" s="2"/>
      <c r="U6" s="2"/>
      <c r="V6" s="1"/>
      <c r="W6" s="1"/>
      <c r="X6" s="1"/>
      <c r="Y6" s="29">
        <v>3</v>
      </c>
      <c r="Z6" s="66" t="s">
        <v>55</v>
      </c>
      <c r="AB6" s="10"/>
      <c r="AC6" s="2"/>
      <c r="AD6" s="2"/>
      <c r="AE6" s="1"/>
      <c r="AF6" s="1"/>
      <c r="AG6" s="1"/>
      <c r="AH6" s="29">
        <v>3</v>
      </c>
      <c r="AI6" s="66" t="s">
        <v>55</v>
      </c>
      <c r="AK6" s="10"/>
      <c r="AL6" s="2"/>
      <c r="AM6" s="1"/>
      <c r="AN6" s="1"/>
      <c r="AO6" s="1"/>
      <c r="AP6" s="29">
        <v>2</v>
      </c>
      <c r="AQ6" s="66" t="s">
        <v>55</v>
      </c>
    </row>
    <row r="7" spans="1:43" ht="19" x14ac:dyDescent="0.25">
      <c r="B7" s="10"/>
      <c r="C7" s="2"/>
      <c r="D7" s="1"/>
      <c r="E7" s="1"/>
      <c r="F7" s="1"/>
      <c r="G7" s="29">
        <v>7</v>
      </c>
      <c r="H7" s="66" t="s">
        <v>56</v>
      </c>
      <c r="J7" s="10"/>
      <c r="K7" s="2"/>
      <c r="L7" s="2"/>
      <c r="M7" s="1"/>
      <c r="N7" s="1"/>
      <c r="O7" s="1"/>
      <c r="P7" s="29">
        <v>-2</v>
      </c>
      <c r="Q7" s="66" t="s">
        <v>56</v>
      </c>
      <c r="S7" s="10"/>
      <c r="T7" s="2"/>
      <c r="U7" s="2"/>
      <c r="V7" s="1"/>
      <c r="W7" s="1"/>
      <c r="X7" s="1"/>
      <c r="Y7" s="29">
        <v>1</v>
      </c>
      <c r="Z7" s="66" t="s">
        <v>56</v>
      </c>
      <c r="AB7" s="10"/>
      <c r="AC7" s="2"/>
      <c r="AD7" s="2"/>
      <c r="AE7" s="1"/>
      <c r="AF7" s="1"/>
      <c r="AG7" s="1"/>
      <c r="AH7" s="29">
        <v>1</v>
      </c>
      <c r="AI7" s="66" t="s">
        <v>56</v>
      </c>
      <c r="AK7" s="10"/>
      <c r="AL7" s="2"/>
      <c r="AM7" s="1"/>
      <c r="AN7" s="1"/>
      <c r="AO7" s="1"/>
      <c r="AP7" s="29">
        <v>3</v>
      </c>
      <c r="AQ7" s="66" t="s">
        <v>56</v>
      </c>
    </row>
    <row r="8" spans="1:43" ht="20" thickBot="1" x14ac:dyDescent="0.3">
      <c r="B8" s="10"/>
      <c r="C8" s="86" t="s">
        <v>47</v>
      </c>
      <c r="D8" s="86"/>
      <c r="E8" s="47" t="s">
        <v>48</v>
      </c>
      <c r="F8" s="1"/>
      <c r="G8" s="45">
        <v>1</v>
      </c>
      <c r="H8" s="76"/>
      <c r="I8" s="77"/>
      <c r="J8" s="78"/>
      <c r="K8" s="77"/>
      <c r="L8" s="77"/>
      <c r="M8" s="77"/>
      <c r="N8" s="77"/>
      <c r="O8" s="77"/>
      <c r="P8" s="29">
        <v>3</v>
      </c>
      <c r="Q8" s="79" t="s">
        <v>57</v>
      </c>
      <c r="S8" s="78"/>
      <c r="T8" s="77"/>
      <c r="U8" s="77"/>
      <c r="V8" s="77"/>
      <c r="W8" s="77"/>
      <c r="X8" s="77"/>
      <c r="Y8" s="29">
        <v>2</v>
      </c>
      <c r="Z8" s="79" t="s">
        <v>57</v>
      </c>
      <c r="AB8" s="78"/>
      <c r="AC8" s="77"/>
      <c r="AD8" s="77"/>
      <c r="AE8" s="77"/>
      <c r="AF8" s="77"/>
      <c r="AG8" s="77"/>
      <c r="AH8" s="29">
        <v>2</v>
      </c>
      <c r="AI8" s="79" t="s">
        <v>57</v>
      </c>
      <c r="AK8" s="10"/>
      <c r="AL8" s="86" t="s">
        <v>47</v>
      </c>
      <c r="AM8" s="86"/>
      <c r="AN8" s="47" t="s">
        <v>48</v>
      </c>
      <c r="AO8" s="1"/>
      <c r="AP8" s="45">
        <v>1</v>
      </c>
      <c r="AQ8" s="64"/>
    </row>
    <row r="9" spans="1:43" ht="20" thickBot="1" x14ac:dyDescent="0.3">
      <c r="B9" s="10"/>
      <c r="C9" s="20">
        <v>1</v>
      </c>
      <c r="D9" s="37">
        <v>1</v>
      </c>
      <c r="E9" s="21">
        <v>0</v>
      </c>
      <c r="F9" s="28" t="s">
        <v>43</v>
      </c>
      <c r="G9" s="29">
        <f>C9*G6+D9*G7+E9</f>
        <v>11</v>
      </c>
      <c r="H9" s="67" t="s">
        <v>52</v>
      </c>
      <c r="I9" s="77"/>
      <c r="J9" s="46"/>
      <c r="K9" s="87" t="s">
        <v>47</v>
      </c>
      <c r="L9" s="87"/>
      <c r="M9" s="87"/>
      <c r="N9" s="47" t="s">
        <v>48</v>
      </c>
      <c r="O9" s="47"/>
      <c r="P9" s="45">
        <v>1</v>
      </c>
      <c r="Q9" s="64"/>
      <c r="S9" s="46"/>
      <c r="T9" s="87" t="s">
        <v>47</v>
      </c>
      <c r="U9" s="87"/>
      <c r="V9" s="87"/>
      <c r="W9" s="47" t="s">
        <v>48</v>
      </c>
      <c r="X9" s="47"/>
      <c r="Y9" s="45">
        <v>1</v>
      </c>
      <c r="Z9" s="64"/>
      <c r="AB9" s="46"/>
      <c r="AC9" s="87" t="s">
        <v>47</v>
      </c>
      <c r="AD9" s="87"/>
      <c r="AE9" s="87"/>
      <c r="AF9" s="47" t="s">
        <v>48</v>
      </c>
      <c r="AG9" s="47"/>
      <c r="AH9" s="45">
        <v>1</v>
      </c>
      <c r="AI9" s="64"/>
      <c r="AK9" s="10"/>
      <c r="AL9" s="49"/>
      <c r="AM9" s="31">
        <v>1</v>
      </c>
      <c r="AN9" s="32">
        <v>0</v>
      </c>
      <c r="AO9" s="28" t="s">
        <v>43</v>
      </c>
      <c r="AP9" s="50">
        <v>5</v>
      </c>
      <c r="AQ9" s="66" t="s">
        <v>49</v>
      </c>
    </row>
    <row r="10" spans="1:43" ht="19" x14ac:dyDescent="0.25">
      <c r="B10" s="68"/>
      <c r="C10" s="25">
        <v>1</v>
      </c>
      <c r="D10" s="16">
        <v>-1</v>
      </c>
      <c r="E10" s="26">
        <v>0</v>
      </c>
      <c r="F10" s="28" t="s">
        <v>43</v>
      </c>
      <c r="G10" s="44">
        <f>C10*G6+D10*G7+E10</f>
        <v>-3</v>
      </c>
      <c r="H10" s="67" t="s">
        <v>53</v>
      </c>
      <c r="J10" s="10"/>
      <c r="K10" s="33">
        <v>1</v>
      </c>
      <c r="L10" s="37">
        <v>-1</v>
      </c>
      <c r="M10" s="37">
        <v>1</v>
      </c>
      <c r="N10" s="21">
        <v>0</v>
      </c>
      <c r="O10" s="28" t="s">
        <v>43</v>
      </c>
      <c r="P10" s="43"/>
      <c r="Q10" s="67" t="s">
        <v>52</v>
      </c>
      <c r="S10" s="10"/>
      <c r="T10" s="33">
        <v>1</v>
      </c>
      <c r="U10" s="37">
        <v>1</v>
      </c>
      <c r="V10" s="37">
        <v>0</v>
      </c>
      <c r="W10" s="21">
        <v>-1</v>
      </c>
      <c r="X10" s="28" t="s">
        <v>43</v>
      </c>
      <c r="Y10" s="44">
        <f>T10*Y6+U10*Y7+V10*Y8+W10</f>
        <v>3</v>
      </c>
      <c r="Z10" s="67" t="s">
        <v>52</v>
      </c>
      <c r="AB10" s="10"/>
      <c r="AC10" s="33">
        <v>1</v>
      </c>
      <c r="AD10" s="37">
        <v>1</v>
      </c>
      <c r="AE10" s="37">
        <v>0</v>
      </c>
      <c r="AF10" s="21">
        <v>0</v>
      </c>
      <c r="AG10" s="28" t="s">
        <v>43</v>
      </c>
      <c r="AH10" s="44">
        <f>AC10*AH6+AD10*AH7+AE10*AH8+AF10</f>
        <v>4</v>
      </c>
      <c r="AI10" s="67" t="s">
        <v>52</v>
      </c>
      <c r="AK10" s="68"/>
      <c r="AM10" s="1"/>
      <c r="AN10" s="65"/>
      <c r="AO10" s="1"/>
      <c r="AP10" s="1"/>
      <c r="AQ10" s="63"/>
    </row>
    <row r="11" spans="1:43" ht="20" thickBot="1" x14ac:dyDescent="0.3">
      <c r="B11" s="69"/>
      <c r="C11" s="34">
        <v>-1</v>
      </c>
      <c r="D11" s="35">
        <v>1</v>
      </c>
      <c r="E11" s="36">
        <v>0</v>
      </c>
      <c r="F11" s="28" t="s">
        <v>43</v>
      </c>
      <c r="G11" s="43"/>
      <c r="H11" s="67" t="s">
        <v>54</v>
      </c>
      <c r="J11" s="68"/>
      <c r="K11" s="34">
        <v>1</v>
      </c>
      <c r="L11" s="38">
        <v>1</v>
      </c>
      <c r="M11" s="38">
        <v>1</v>
      </c>
      <c r="N11" s="23">
        <v>0</v>
      </c>
      <c r="O11" s="28" t="s">
        <v>43</v>
      </c>
      <c r="P11" s="44">
        <f>K11*P6+L11*P7+M11*P8+N11</f>
        <v>2</v>
      </c>
      <c r="Q11" s="67" t="s">
        <v>53</v>
      </c>
      <c r="S11" s="68"/>
      <c r="T11" s="34">
        <v>1</v>
      </c>
      <c r="U11" s="38">
        <v>0</v>
      </c>
      <c r="V11" s="38">
        <v>1</v>
      </c>
      <c r="W11" s="23">
        <v>-1</v>
      </c>
      <c r="X11" s="28" t="s">
        <v>43</v>
      </c>
      <c r="Y11" s="8"/>
      <c r="Z11" s="67" t="s">
        <v>53</v>
      </c>
      <c r="AB11" s="68"/>
      <c r="AC11" s="48">
        <v>0</v>
      </c>
      <c r="AD11" s="16">
        <v>1</v>
      </c>
      <c r="AE11" s="16">
        <v>1</v>
      </c>
      <c r="AF11" s="26">
        <v>0</v>
      </c>
      <c r="AG11" s="28" t="s">
        <v>43</v>
      </c>
      <c r="AH11" s="8"/>
      <c r="AI11" s="67" t="s">
        <v>53</v>
      </c>
      <c r="AK11" s="69"/>
      <c r="AL11" s="75"/>
      <c r="AM11" s="1"/>
      <c r="AN11" s="65"/>
      <c r="AO11" s="1"/>
      <c r="AP11" s="1"/>
      <c r="AQ11" s="70"/>
    </row>
    <row r="12" spans="1:43" ht="21" customHeight="1" thickBot="1" x14ac:dyDescent="0.3">
      <c r="B12" s="68"/>
      <c r="H12" s="63"/>
      <c r="J12" s="69"/>
      <c r="Q12" s="63"/>
      <c r="S12" s="69"/>
      <c r="Z12" s="63"/>
      <c r="AB12" s="68"/>
      <c r="AC12" s="34">
        <v>1</v>
      </c>
      <c r="AD12" s="35">
        <v>0</v>
      </c>
      <c r="AE12" s="35">
        <v>1</v>
      </c>
      <c r="AF12" s="36">
        <v>0</v>
      </c>
      <c r="AG12" s="28" t="s">
        <v>43</v>
      </c>
      <c r="AH12" s="16">
        <f>AC12*AH6+AD12*AH7+AE12*AH8+AF12</f>
        <v>5</v>
      </c>
      <c r="AI12" s="67" t="s">
        <v>54</v>
      </c>
      <c r="AK12" s="15"/>
      <c r="AL12" s="1"/>
      <c r="AM12" s="1"/>
      <c r="AN12" s="65"/>
      <c r="AO12" s="1"/>
      <c r="AP12" s="1"/>
      <c r="AQ12" s="63"/>
    </row>
    <row r="13" spans="1:43" ht="19" x14ac:dyDescent="0.25">
      <c r="B13" s="68"/>
      <c r="H13" s="39"/>
      <c r="J13" s="68"/>
      <c r="Q13" s="63"/>
      <c r="S13" s="68"/>
      <c r="Z13" s="63"/>
      <c r="AB13" s="68"/>
      <c r="AI13" s="63"/>
      <c r="AK13" s="15"/>
      <c r="AL13" s="1"/>
      <c r="AM13" s="1"/>
      <c r="AN13" s="65"/>
      <c r="AO13" s="1"/>
      <c r="AP13" s="1"/>
      <c r="AQ13" s="63"/>
    </row>
    <row r="14" spans="1:43" ht="20" customHeight="1" x14ac:dyDescent="0.25">
      <c r="B14" s="68"/>
      <c r="H14" s="39"/>
      <c r="J14" s="68"/>
      <c r="Q14" s="63"/>
      <c r="S14" s="68"/>
      <c r="Z14" s="63"/>
      <c r="AB14" s="68"/>
      <c r="AI14" s="63"/>
      <c r="AK14" s="15"/>
      <c r="AL14" s="1"/>
      <c r="AM14" s="1"/>
      <c r="AN14" s="65"/>
      <c r="AO14" s="1"/>
      <c r="AP14" s="1"/>
      <c r="AQ14" s="63"/>
    </row>
    <row r="15" spans="1:43" ht="19" x14ac:dyDescent="0.25">
      <c r="B15" s="68"/>
      <c r="H15" s="39"/>
      <c r="J15" s="68"/>
      <c r="Q15" s="63"/>
      <c r="S15" s="68"/>
      <c r="Z15" s="63"/>
      <c r="AB15" s="68"/>
      <c r="AI15" s="63"/>
      <c r="AK15" s="15"/>
      <c r="AL15" s="1"/>
      <c r="AQ15" s="63"/>
    </row>
    <row r="16" spans="1:43" ht="21" customHeight="1" x14ac:dyDescent="0.25">
      <c r="B16" s="68"/>
      <c r="H16" s="39"/>
      <c r="J16" s="68"/>
      <c r="Q16" s="63"/>
      <c r="S16" s="68"/>
      <c r="Z16" s="63"/>
      <c r="AB16" s="68"/>
      <c r="AI16" s="63"/>
      <c r="AK16" s="15"/>
      <c r="AL16" s="1"/>
      <c r="AQ16" s="63"/>
    </row>
    <row r="17" spans="2:43" ht="19" customHeight="1" x14ac:dyDescent="0.25">
      <c r="B17" s="68"/>
      <c r="H17" s="63"/>
      <c r="J17" s="68"/>
      <c r="Q17" s="63"/>
      <c r="S17" s="68"/>
      <c r="Z17" s="63"/>
      <c r="AB17" s="68"/>
      <c r="AI17" s="63"/>
      <c r="AK17" s="15"/>
      <c r="AL17" s="1"/>
      <c r="AQ17" s="63"/>
    </row>
    <row r="18" spans="2:43" ht="19" customHeight="1" x14ac:dyDescent="0.25">
      <c r="B18" s="68"/>
      <c r="H18" s="63"/>
      <c r="J18" s="68"/>
      <c r="Q18" s="63"/>
      <c r="S18" s="68"/>
      <c r="Z18" s="63"/>
      <c r="AB18" s="68"/>
      <c r="AI18" s="63"/>
      <c r="AK18" s="15"/>
      <c r="AL18" s="1"/>
      <c r="AM18" s="2"/>
      <c r="AN18" s="2"/>
      <c r="AO18" s="2"/>
      <c r="AP18" s="2"/>
      <c r="AQ18" s="63"/>
    </row>
    <row r="19" spans="2:43" ht="19" customHeight="1" thickBot="1" x14ac:dyDescent="0.3">
      <c r="B19" s="68"/>
      <c r="H19" s="63"/>
      <c r="J19" s="68"/>
      <c r="Q19" s="63"/>
      <c r="S19" s="68"/>
      <c r="Z19" s="63"/>
      <c r="AB19" s="68"/>
      <c r="AI19" s="63"/>
      <c r="AK19" s="11"/>
      <c r="AL19" s="12"/>
      <c r="AM19" s="72"/>
      <c r="AN19" s="72"/>
      <c r="AO19" s="72"/>
      <c r="AP19" s="72"/>
      <c r="AQ19" s="71"/>
    </row>
    <row r="20" spans="2:43" ht="20" customHeight="1" x14ac:dyDescent="0.25">
      <c r="B20" s="68"/>
      <c r="H20" s="40"/>
      <c r="J20" s="68"/>
      <c r="Q20" s="63"/>
      <c r="S20" s="68"/>
      <c r="Z20" s="63"/>
      <c r="AB20" s="68"/>
      <c r="AI20" s="63"/>
    </row>
    <row r="21" spans="2:43" ht="21" customHeight="1" thickBot="1" x14ac:dyDescent="0.25">
      <c r="B21" s="73"/>
      <c r="C21" s="72"/>
      <c r="D21" s="72"/>
      <c r="E21" s="72"/>
      <c r="F21" s="72"/>
      <c r="G21" s="72"/>
      <c r="H21" s="71"/>
      <c r="J21" s="73"/>
      <c r="K21" s="72"/>
      <c r="L21" s="72"/>
      <c r="M21" s="72"/>
      <c r="N21" s="72"/>
      <c r="O21" s="72"/>
      <c r="P21" s="72"/>
      <c r="Q21" s="71"/>
      <c r="S21" s="73"/>
      <c r="T21" s="72"/>
      <c r="U21" s="72"/>
      <c r="V21" s="72"/>
      <c r="W21" s="72"/>
      <c r="X21" s="72"/>
      <c r="Y21" s="72"/>
      <c r="Z21" s="71"/>
      <c r="AB21" s="73"/>
      <c r="AC21" s="72"/>
      <c r="AD21" s="72"/>
      <c r="AE21" s="72"/>
      <c r="AF21" s="72"/>
      <c r="AG21" s="72"/>
      <c r="AH21" s="72"/>
      <c r="AI21" s="71"/>
    </row>
  </sheetData>
  <mergeCells count="10">
    <mergeCell ref="B4:H4"/>
    <mergeCell ref="C8:D8"/>
    <mergeCell ref="AB4:AI4"/>
    <mergeCell ref="AC9:AE9"/>
    <mergeCell ref="AK4:AQ4"/>
    <mergeCell ref="AL8:AM8"/>
    <mergeCell ref="J4:Q4"/>
    <mergeCell ref="K9:M9"/>
    <mergeCell ref="S4:Z4"/>
    <mergeCell ref="T9:V9"/>
  </mergeCells>
  <hyperlinks>
    <hyperlink ref="S1" r:id="rId1" xr:uid="{A34BF2FF-0E95-C94E-B3C7-66CDDE6AA8B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5BB5-4F72-764D-85DB-452B7F72780F}">
  <dimension ref="A1:AN20"/>
  <sheetViews>
    <sheetView workbookViewId="0">
      <pane ySplit="1" topLeftCell="A2" activePane="bottomLeft" state="frozen"/>
      <selection pane="bottomLeft" sqref="A1:XFD1"/>
    </sheetView>
  </sheetViews>
  <sheetFormatPr baseColWidth="10" defaultColWidth="11" defaultRowHeight="16" x14ac:dyDescent="0.2"/>
  <cols>
    <col min="2" max="2" width="4.6640625" customWidth="1"/>
    <col min="3" max="3" width="4.83203125" customWidth="1"/>
    <col min="4" max="5" width="4.6640625" customWidth="1"/>
    <col min="6" max="6" width="5" customWidth="1"/>
    <col min="7" max="7" width="4.5" customWidth="1"/>
    <col min="8" max="8" width="4.33203125" customWidth="1"/>
    <col min="9" max="9" width="10.5" customWidth="1"/>
    <col min="10" max="10" width="4.83203125" customWidth="1"/>
    <col min="11" max="11" width="5" customWidth="1"/>
    <col min="12" max="12" width="4.5" customWidth="1"/>
    <col min="13" max="13" width="4.6640625" customWidth="1"/>
    <col min="14" max="15" width="4.83203125" customWidth="1"/>
    <col min="16" max="16" width="5" customWidth="1"/>
    <col min="17" max="17" width="9.5" customWidth="1"/>
    <col min="18" max="18" width="4.83203125" customWidth="1"/>
    <col min="19" max="19" width="5.1640625" customWidth="1"/>
    <col min="20" max="20" width="4.6640625" customWidth="1"/>
    <col min="21" max="21" width="5.1640625" customWidth="1"/>
    <col min="22" max="22" width="5" customWidth="1"/>
    <col min="23" max="23" width="4.83203125" customWidth="1"/>
    <col min="24" max="24" width="5" customWidth="1"/>
    <col min="26" max="26" width="5" customWidth="1"/>
    <col min="27" max="27" width="5.1640625" customWidth="1"/>
    <col min="28" max="28" width="5" customWidth="1"/>
    <col min="29" max="29" width="4.83203125" customWidth="1"/>
    <col min="30" max="30" width="5.1640625" customWidth="1"/>
    <col min="31" max="31" width="4.83203125" customWidth="1"/>
    <col min="32" max="32" width="5" customWidth="1"/>
    <col min="34" max="34" width="5.1640625" customWidth="1"/>
    <col min="35" max="35" width="5.83203125" customWidth="1"/>
    <col min="36" max="36" width="5.33203125" customWidth="1"/>
    <col min="37" max="37" width="5.1640625" customWidth="1"/>
    <col min="38" max="38" width="5" customWidth="1"/>
    <col min="39" max="39" width="4.83203125" customWidth="1"/>
    <col min="40" max="40" width="5.33203125" customWidth="1"/>
  </cols>
  <sheetData>
    <row r="1" spans="1:40" s="2" customFormat="1" ht="19" x14ac:dyDescent="0.25">
      <c r="A1" s="2" t="s">
        <v>51</v>
      </c>
      <c r="B1" s="1"/>
      <c r="C1" s="1"/>
      <c r="D1" s="1"/>
      <c r="F1" s="1"/>
      <c r="G1" s="1"/>
      <c r="H1" s="1"/>
      <c r="I1" s="1"/>
      <c r="L1" s="1"/>
      <c r="M1" s="1"/>
      <c r="O1" s="5" t="s">
        <v>42</v>
      </c>
      <c r="R1" s="74" t="s">
        <v>50</v>
      </c>
    </row>
    <row r="3" spans="1:40" ht="20" thickBot="1" x14ac:dyDescent="0.3">
      <c r="B3" s="2" t="str">
        <f>IF(ISBLANK(D9)=TRUE,"NOT DONE",IF(B5=D9,"CORRECT", "INCORRECT"))</f>
        <v>NOT DONE</v>
      </c>
      <c r="C3" s="2"/>
      <c r="D3" s="2"/>
      <c r="E3" s="2"/>
      <c r="F3" s="2"/>
      <c r="G3" s="2"/>
      <c r="J3" s="2" t="str">
        <f>IF(ISBLANK(M9)=TRUE,"NOT DONE",IF(J5=M9,"CORRECT", "INCORRECT"))</f>
        <v>NOT DONE</v>
      </c>
      <c r="K3" s="2"/>
      <c r="L3" s="2"/>
      <c r="M3" s="2"/>
      <c r="N3" s="2"/>
      <c r="O3" s="2"/>
      <c r="R3" s="2" t="str">
        <f>IF(ISBLANK(U9)=TRUE,"NOT DONE",IF(R5=U9,"CORRECT", "INCORRECT"))</f>
        <v>NOT DONE</v>
      </c>
      <c r="S3" s="2"/>
      <c r="T3" s="2"/>
      <c r="U3" s="2"/>
      <c r="V3" s="2"/>
      <c r="W3" s="2"/>
      <c r="Z3" s="2" t="str">
        <f>IF(ISBLANK(AA9)=TRUE,"NOT DONE",IF(Z5=AA9,"CORRECT", "INCORRECT"))</f>
        <v>NOT DONE</v>
      </c>
      <c r="AA3" s="2"/>
      <c r="AB3" s="2"/>
      <c r="AC3" s="2"/>
      <c r="AD3" s="2"/>
      <c r="AE3" s="2"/>
      <c r="AH3" s="2" t="str">
        <f>IF(ISBLANK(AJ10)=TRUE,"NOT DONE",IF(AH5=AJ10,"CORRECT", "INCORRECT"))</f>
        <v>NOT DONE</v>
      </c>
      <c r="AI3" s="2"/>
      <c r="AJ3" s="2"/>
      <c r="AK3" s="2"/>
      <c r="AL3" s="2"/>
      <c r="AM3" s="2"/>
    </row>
    <row r="4" spans="1:40" ht="19" x14ac:dyDescent="0.25">
      <c r="B4" s="80" t="s">
        <v>15</v>
      </c>
      <c r="C4" s="81"/>
      <c r="D4" s="81"/>
      <c r="E4" s="81"/>
      <c r="F4" s="81"/>
      <c r="G4" s="81"/>
      <c r="H4" s="82"/>
      <c r="J4" s="80" t="s">
        <v>16</v>
      </c>
      <c r="K4" s="81"/>
      <c r="L4" s="81"/>
      <c r="M4" s="81"/>
      <c r="N4" s="81"/>
      <c r="O4" s="81"/>
      <c r="P4" s="82"/>
      <c r="R4" s="80" t="s">
        <v>17</v>
      </c>
      <c r="S4" s="81"/>
      <c r="T4" s="81"/>
      <c r="U4" s="81"/>
      <c r="V4" s="81"/>
      <c r="W4" s="81"/>
      <c r="X4" s="82"/>
      <c r="Z4" s="80" t="s">
        <v>18</v>
      </c>
      <c r="AA4" s="81"/>
      <c r="AB4" s="81"/>
      <c r="AC4" s="81"/>
      <c r="AD4" s="81"/>
      <c r="AE4" s="81"/>
      <c r="AF4" s="82"/>
      <c r="AH4" s="80" t="s">
        <v>19</v>
      </c>
      <c r="AI4" s="81"/>
      <c r="AJ4" s="81"/>
      <c r="AK4" s="81"/>
      <c r="AL4" s="81"/>
      <c r="AM4" s="81"/>
      <c r="AN4" s="82"/>
    </row>
    <row r="5" spans="1:40" ht="19" x14ac:dyDescent="0.25">
      <c r="B5" s="14">
        <f>(G9-E9-G6*C9)/G7</f>
        <v>0</v>
      </c>
      <c r="C5" s="27"/>
      <c r="D5" s="2"/>
      <c r="E5" s="2"/>
      <c r="F5" s="2"/>
      <c r="G5" s="2"/>
      <c r="H5" s="63"/>
      <c r="J5" s="14">
        <f>O9-O6*K9-O7*L9</f>
        <v>2</v>
      </c>
      <c r="K5" s="27"/>
      <c r="L5" s="2"/>
      <c r="M5" s="2"/>
      <c r="N5" s="2"/>
      <c r="O5" s="2"/>
      <c r="P5" s="63"/>
      <c r="R5" s="14">
        <f>W9-W6*S9-W7*T9</f>
        <v>-2</v>
      </c>
      <c r="S5" s="27"/>
      <c r="T5" s="2"/>
      <c r="U5" s="2"/>
      <c r="V5" s="2"/>
      <c r="W5" s="2"/>
      <c r="X5" s="63"/>
      <c r="Z5" s="14">
        <f>(AE9-AC9-AE7*AB9)/AE6</f>
        <v>-1</v>
      </c>
      <c r="AA5" s="27"/>
      <c r="AB5" s="2"/>
      <c r="AC5" s="2"/>
      <c r="AD5" s="2"/>
      <c r="AE5" s="2"/>
      <c r="AF5" s="63"/>
      <c r="AH5" s="9">
        <f>(AM10-AK10-AM6*AI10)/AM7</f>
        <v>3</v>
      </c>
      <c r="AI5" s="27"/>
      <c r="AJ5" s="2"/>
      <c r="AK5" s="2"/>
      <c r="AL5" s="2"/>
      <c r="AM5" s="2"/>
      <c r="AN5" s="63"/>
    </row>
    <row r="6" spans="1:40" ht="19" x14ac:dyDescent="0.25">
      <c r="B6" s="10"/>
      <c r="C6" s="2"/>
      <c r="D6" s="1"/>
      <c r="E6" s="1"/>
      <c r="F6" s="1"/>
      <c r="G6" s="29">
        <v>2</v>
      </c>
      <c r="H6" s="66" t="s">
        <v>55</v>
      </c>
      <c r="J6" s="10"/>
      <c r="K6" s="2"/>
      <c r="L6" s="1"/>
      <c r="M6" s="1"/>
      <c r="N6" s="1"/>
      <c r="O6" s="29">
        <v>2</v>
      </c>
      <c r="P6" s="66" t="s">
        <v>55</v>
      </c>
      <c r="R6" s="10"/>
      <c r="S6" s="2"/>
      <c r="T6" s="1"/>
      <c r="U6" s="1"/>
      <c r="V6" s="1"/>
      <c r="W6" s="29">
        <v>2</v>
      </c>
      <c r="X6" s="66" t="s">
        <v>55</v>
      </c>
      <c r="Z6" s="10"/>
      <c r="AA6" s="2"/>
      <c r="AB6" s="1"/>
      <c r="AC6" s="1"/>
      <c r="AD6" s="1"/>
      <c r="AE6" s="29">
        <v>3</v>
      </c>
      <c r="AF6" s="66" t="s">
        <v>55</v>
      </c>
      <c r="AH6" s="10"/>
      <c r="AI6" s="2"/>
      <c r="AJ6" s="1"/>
      <c r="AK6" s="1"/>
      <c r="AL6" s="1"/>
      <c r="AM6" s="29">
        <v>4</v>
      </c>
      <c r="AN6" s="66" t="s">
        <v>55</v>
      </c>
    </row>
    <row r="7" spans="1:40" ht="19" x14ac:dyDescent="0.25">
      <c r="B7" s="10"/>
      <c r="C7" s="2"/>
      <c r="D7" s="1"/>
      <c r="E7" s="1"/>
      <c r="F7" s="1"/>
      <c r="G7" s="29">
        <v>3</v>
      </c>
      <c r="H7" s="66" t="s">
        <v>56</v>
      </c>
      <c r="J7" s="10"/>
      <c r="K7" s="2"/>
      <c r="L7" s="1"/>
      <c r="M7" s="1"/>
      <c r="N7" s="1"/>
      <c r="O7" s="29">
        <v>1</v>
      </c>
      <c r="P7" s="66" t="s">
        <v>56</v>
      </c>
      <c r="R7" s="10"/>
      <c r="S7" s="2"/>
      <c r="T7" s="1"/>
      <c r="U7" s="1"/>
      <c r="V7" s="1"/>
      <c r="W7" s="29">
        <v>1</v>
      </c>
      <c r="X7" s="66" t="s">
        <v>56</v>
      </c>
      <c r="Z7" s="10"/>
      <c r="AA7" s="2"/>
      <c r="AB7" s="1"/>
      <c r="AC7" s="1"/>
      <c r="AD7" s="1"/>
      <c r="AE7" s="29">
        <v>5</v>
      </c>
      <c r="AF7" s="66" t="s">
        <v>56</v>
      </c>
      <c r="AH7" s="10"/>
      <c r="AI7" s="2"/>
      <c r="AJ7" s="1"/>
      <c r="AK7" s="1"/>
      <c r="AL7" s="1"/>
      <c r="AM7" s="29">
        <v>2</v>
      </c>
      <c r="AN7" s="66" t="s">
        <v>56</v>
      </c>
    </row>
    <row r="8" spans="1:40" ht="20" thickBot="1" x14ac:dyDescent="0.3">
      <c r="B8" s="10"/>
      <c r="C8" s="86" t="s">
        <v>47</v>
      </c>
      <c r="D8" s="86"/>
      <c r="E8" s="47" t="s">
        <v>48</v>
      </c>
      <c r="F8" s="1"/>
      <c r="G8" s="45">
        <v>1</v>
      </c>
      <c r="H8" s="64"/>
      <c r="J8" s="10"/>
      <c r="K8" s="86" t="s">
        <v>47</v>
      </c>
      <c r="L8" s="86"/>
      <c r="M8" s="47" t="s">
        <v>48</v>
      </c>
      <c r="N8" s="1"/>
      <c r="O8" s="45">
        <v>1</v>
      </c>
      <c r="P8" s="64"/>
      <c r="R8" s="10"/>
      <c r="S8" s="86" t="s">
        <v>47</v>
      </c>
      <c r="T8" s="86"/>
      <c r="U8" s="47" t="s">
        <v>48</v>
      </c>
      <c r="V8" s="1"/>
      <c r="W8" s="45">
        <v>1</v>
      </c>
      <c r="X8" s="64"/>
      <c r="Z8" s="10"/>
      <c r="AA8" s="86" t="s">
        <v>47</v>
      </c>
      <c r="AB8" s="86"/>
      <c r="AC8" s="47" t="s">
        <v>48</v>
      </c>
      <c r="AD8" s="1"/>
      <c r="AE8" s="17">
        <v>1</v>
      </c>
      <c r="AF8" s="64"/>
      <c r="AH8" s="10"/>
      <c r="AI8" s="86" t="s">
        <v>47</v>
      </c>
      <c r="AJ8" s="86"/>
      <c r="AK8" s="47" t="s">
        <v>48</v>
      </c>
      <c r="AL8" s="1"/>
      <c r="AM8" s="17">
        <v>1</v>
      </c>
      <c r="AN8" s="64"/>
    </row>
    <row r="9" spans="1:40" ht="20" thickBot="1" x14ac:dyDescent="0.3">
      <c r="B9" s="10"/>
      <c r="C9" s="30">
        <v>1</v>
      </c>
      <c r="D9" s="51"/>
      <c r="E9" s="32">
        <v>0</v>
      </c>
      <c r="F9" s="28" t="s">
        <v>43</v>
      </c>
      <c r="G9" s="53">
        <v>2</v>
      </c>
      <c r="H9" s="66" t="s">
        <v>49</v>
      </c>
      <c r="J9" s="10"/>
      <c r="K9" s="30">
        <v>1</v>
      </c>
      <c r="L9" s="31">
        <v>1</v>
      </c>
      <c r="M9" s="52"/>
      <c r="N9" s="28" t="s">
        <v>43</v>
      </c>
      <c r="O9" s="53">
        <v>5</v>
      </c>
      <c r="P9" s="66" t="s">
        <v>49</v>
      </c>
      <c r="R9" s="10"/>
      <c r="S9" s="30">
        <v>1</v>
      </c>
      <c r="T9" s="31">
        <v>1</v>
      </c>
      <c r="U9" s="52"/>
      <c r="V9" s="28" t="s">
        <v>43</v>
      </c>
      <c r="W9" s="53">
        <v>1</v>
      </c>
      <c r="X9" s="66" t="s">
        <v>49</v>
      </c>
      <c r="Z9" s="10"/>
      <c r="AA9" s="54"/>
      <c r="AB9" s="37">
        <v>1</v>
      </c>
      <c r="AC9" s="21">
        <v>0</v>
      </c>
      <c r="AD9" s="28" t="s">
        <v>43</v>
      </c>
      <c r="AE9" s="42">
        <v>2</v>
      </c>
      <c r="AF9" s="67" t="s">
        <v>52</v>
      </c>
      <c r="AH9" s="10"/>
      <c r="AI9" s="20">
        <v>1</v>
      </c>
      <c r="AJ9" s="37">
        <v>2</v>
      </c>
      <c r="AK9" s="21">
        <v>0</v>
      </c>
      <c r="AL9" s="28" t="s">
        <v>43</v>
      </c>
      <c r="AM9" s="16">
        <f>AI9*AM6+AJ9*AM7+AK9</f>
        <v>8</v>
      </c>
      <c r="AN9" s="67" t="s">
        <v>52</v>
      </c>
    </row>
    <row r="10" spans="1:40" ht="20" thickBot="1" x14ac:dyDescent="0.3">
      <c r="B10" s="68"/>
      <c r="D10" s="1"/>
      <c r="E10" s="65"/>
      <c r="F10" s="1"/>
      <c r="G10" s="1"/>
      <c r="H10" s="63"/>
      <c r="J10" s="68"/>
      <c r="L10" s="1"/>
      <c r="M10" s="65"/>
      <c r="N10" s="1"/>
      <c r="O10" s="1"/>
      <c r="P10" s="63"/>
      <c r="R10" s="68"/>
      <c r="T10" s="1"/>
      <c r="U10" s="65"/>
      <c r="V10" s="1"/>
      <c r="W10" s="1"/>
      <c r="X10" s="63"/>
      <c r="Z10" s="68"/>
      <c r="AA10" s="22">
        <v>1</v>
      </c>
      <c r="AB10" s="38">
        <v>-1</v>
      </c>
      <c r="AC10" s="23">
        <v>0</v>
      </c>
      <c r="AD10" s="28" t="s">
        <v>43</v>
      </c>
      <c r="AE10" s="29">
        <f>AA10*AE6+AB10*AE7+AC10</f>
        <v>-2</v>
      </c>
      <c r="AF10" s="67" t="s">
        <v>53</v>
      </c>
      <c r="AH10" s="68"/>
      <c r="AI10" s="34">
        <v>1</v>
      </c>
      <c r="AJ10" s="55"/>
      <c r="AK10" s="36">
        <v>0</v>
      </c>
      <c r="AL10" s="28" t="s">
        <v>43</v>
      </c>
      <c r="AM10" s="44">
        <v>10</v>
      </c>
      <c r="AN10" s="67" t="s">
        <v>53</v>
      </c>
    </row>
    <row r="11" spans="1:40" ht="19" x14ac:dyDescent="0.25">
      <c r="B11" s="69"/>
      <c r="C11" s="75"/>
      <c r="D11" s="1"/>
      <c r="E11" s="65"/>
      <c r="F11" s="1"/>
      <c r="G11" s="1"/>
      <c r="H11" s="70"/>
      <c r="J11" s="69"/>
      <c r="K11" s="75"/>
      <c r="L11" s="1"/>
      <c r="M11" s="65"/>
      <c r="N11" s="1"/>
      <c r="O11" s="1"/>
      <c r="P11" s="70"/>
      <c r="R11" s="69"/>
      <c r="S11" s="75"/>
      <c r="T11" s="1"/>
      <c r="U11" s="65"/>
      <c r="V11" s="1"/>
      <c r="W11" s="1"/>
      <c r="X11" s="70"/>
      <c r="Z11" s="69"/>
      <c r="AF11" s="70"/>
      <c r="AH11" s="69"/>
      <c r="AN11" s="70"/>
    </row>
    <row r="12" spans="1:40" ht="19" x14ac:dyDescent="0.25">
      <c r="B12" s="15"/>
      <c r="C12" s="1"/>
      <c r="D12" s="1"/>
      <c r="E12" s="65"/>
      <c r="F12" s="1"/>
      <c r="G12" s="1"/>
      <c r="H12" s="63"/>
      <c r="J12" s="15"/>
      <c r="K12" s="1"/>
      <c r="L12" s="1"/>
      <c r="M12" s="65"/>
      <c r="N12" s="1"/>
      <c r="O12" s="1"/>
      <c r="P12" s="63"/>
      <c r="R12" s="15"/>
      <c r="S12" s="1"/>
      <c r="T12" s="1"/>
      <c r="U12" s="65"/>
      <c r="V12" s="1"/>
      <c r="W12" s="1"/>
      <c r="X12" s="63"/>
      <c r="Z12" s="68"/>
      <c r="AA12" s="1"/>
      <c r="AB12" s="75"/>
      <c r="AC12" s="1"/>
      <c r="AD12" s="65"/>
      <c r="AE12" s="1"/>
      <c r="AF12" s="39"/>
      <c r="AH12" s="68"/>
      <c r="AI12" s="1"/>
      <c r="AJ12" s="75"/>
      <c r="AK12" s="1"/>
      <c r="AL12" s="65"/>
      <c r="AM12" s="1"/>
      <c r="AN12" s="39"/>
    </row>
    <row r="13" spans="1:40" ht="19" x14ac:dyDescent="0.25">
      <c r="B13" s="15"/>
      <c r="C13" s="1"/>
      <c r="D13" s="1"/>
      <c r="E13" s="65"/>
      <c r="F13" s="1"/>
      <c r="G13" s="1"/>
      <c r="H13" s="63"/>
      <c r="J13" s="15"/>
      <c r="K13" s="1"/>
      <c r="L13" s="1"/>
      <c r="M13" s="65"/>
      <c r="N13" s="1"/>
      <c r="O13" s="1"/>
      <c r="P13" s="63"/>
      <c r="R13" s="15"/>
      <c r="S13" s="1"/>
      <c r="T13" s="1"/>
      <c r="U13" s="65"/>
      <c r="V13" s="1"/>
      <c r="W13" s="1"/>
      <c r="X13" s="63"/>
      <c r="Z13" s="68"/>
      <c r="AA13" s="1"/>
      <c r="AB13" s="1"/>
      <c r="AC13" s="1"/>
      <c r="AD13" s="65"/>
      <c r="AE13" s="1"/>
      <c r="AF13" s="39"/>
      <c r="AH13" s="68"/>
      <c r="AI13" s="1"/>
      <c r="AJ13" s="1"/>
      <c r="AK13" s="1"/>
      <c r="AL13" s="65"/>
      <c r="AM13" s="1"/>
      <c r="AN13" s="39"/>
    </row>
    <row r="14" spans="1:40" ht="19" x14ac:dyDescent="0.25">
      <c r="B14" s="15"/>
      <c r="C14" s="1"/>
      <c r="D14" s="1"/>
      <c r="E14" s="65"/>
      <c r="F14" s="1"/>
      <c r="G14" s="1"/>
      <c r="H14" s="63"/>
      <c r="J14" s="15"/>
      <c r="K14" s="1"/>
      <c r="L14" s="1"/>
      <c r="M14" s="65"/>
      <c r="N14" s="1"/>
      <c r="O14" s="1"/>
      <c r="P14" s="63"/>
      <c r="R14" s="15"/>
      <c r="S14" s="1"/>
      <c r="T14" s="1"/>
      <c r="U14" s="65"/>
      <c r="V14" s="1"/>
      <c r="W14" s="1"/>
      <c r="X14" s="63"/>
      <c r="Z14" s="68"/>
      <c r="AA14" s="1"/>
      <c r="AB14" s="1"/>
      <c r="AC14" s="1"/>
      <c r="AD14" s="65"/>
      <c r="AE14" s="1"/>
      <c r="AF14" s="39"/>
      <c r="AH14" s="68"/>
      <c r="AI14" s="1"/>
      <c r="AJ14" s="1"/>
      <c r="AK14" s="1"/>
      <c r="AL14" s="65"/>
      <c r="AM14" s="1"/>
      <c r="AN14" s="39"/>
    </row>
    <row r="15" spans="1:40" ht="19" x14ac:dyDescent="0.25">
      <c r="B15" s="15"/>
      <c r="C15" s="1"/>
      <c r="H15" s="63"/>
      <c r="J15" s="15"/>
      <c r="K15" s="1"/>
      <c r="P15" s="63"/>
      <c r="R15" s="15"/>
      <c r="S15" s="1"/>
      <c r="X15" s="63"/>
      <c r="Z15" s="68"/>
      <c r="AA15" s="1"/>
      <c r="AB15" s="1"/>
      <c r="AC15" s="1"/>
      <c r="AD15" s="65"/>
      <c r="AE15" s="1"/>
      <c r="AF15" s="39"/>
      <c r="AH15" s="68"/>
      <c r="AI15" s="1"/>
      <c r="AJ15" s="1"/>
      <c r="AK15" s="1"/>
      <c r="AL15" s="65"/>
      <c r="AM15" s="1"/>
      <c r="AN15" s="39"/>
    </row>
    <row r="16" spans="1:40" ht="19" x14ac:dyDescent="0.25">
      <c r="B16" s="15"/>
      <c r="C16" s="1"/>
      <c r="H16" s="63"/>
      <c r="J16" s="15"/>
      <c r="K16" s="1"/>
      <c r="P16" s="63"/>
      <c r="R16" s="15"/>
      <c r="S16" s="1"/>
      <c r="X16" s="63"/>
      <c r="Z16" s="68"/>
      <c r="AA16" s="1"/>
      <c r="AB16" s="1"/>
      <c r="AF16" s="63"/>
      <c r="AH16" s="68"/>
      <c r="AI16" s="1"/>
      <c r="AJ16" s="1"/>
      <c r="AN16" s="63"/>
    </row>
    <row r="17" spans="2:40" ht="19" x14ac:dyDescent="0.25">
      <c r="B17" s="15"/>
      <c r="C17" s="1"/>
      <c r="H17" s="63"/>
      <c r="J17" s="15"/>
      <c r="K17" s="1"/>
      <c r="P17" s="63"/>
      <c r="R17" s="15"/>
      <c r="S17" s="1"/>
      <c r="X17" s="63"/>
      <c r="Z17" s="68"/>
      <c r="AA17" s="1"/>
      <c r="AB17" s="1"/>
      <c r="AF17" s="63"/>
      <c r="AH17" s="68"/>
      <c r="AI17" s="1"/>
      <c r="AJ17" s="1"/>
      <c r="AN17" s="63"/>
    </row>
    <row r="18" spans="2:40" ht="19" x14ac:dyDescent="0.25">
      <c r="B18" s="15"/>
      <c r="C18" s="1"/>
      <c r="D18" s="2"/>
      <c r="E18" s="2"/>
      <c r="F18" s="2"/>
      <c r="G18" s="2"/>
      <c r="H18" s="63"/>
      <c r="J18" s="15"/>
      <c r="K18" s="1"/>
      <c r="L18" s="2"/>
      <c r="M18" s="2"/>
      <c r="N18" s="2"/>
      <c r="O18" s="2"/>
      <c r="P18" s="63"/>
      <c r="R18" s="15"/>
      <c r="S18" s="1"/>
      <c r="T18" s="2"/>
      <c r="U18" s="2"/>
      <c r="V18" s="2"/>
      <c r="W18" s="2"/>
      <c r="X18" s="63"/>
      <c r="Z18" s="68"/>
      <c r="AA18" s="1"/>
      <c r="AB18" s="1"/>
      <c r="AF18" s="63"/>
      <c r="AH18" s="68"/>
      <c r="AI18" s="1"/>
      <c r="AJ18" s="1"/>
      <c r="AN18" s="63"/>
    </row>
    <row r="19" spans="2:40" ht="20" thickBot="1" x14ac:dyDescent="0.3">
      <c r="B19" s="11"/>
      <c r="C19" s="12"/>
      <c r="D19" s="72"/>
      <c r="E19" s="72"/>
      <c r="F19" s="72"/>
      <c r="G19" s="72"/>
      <c r="H19" s="71"/>
      <c r="J19" s="11"/>
      <c r="K19" s="12"/>
      <c r="L19" s="72"/>
      <c r="M19" s="72"/>
      <c r="N19" s="72"/>
      <c r="O19" s="72"/>
      <c r="P19" s="71"/>
      <c r="R19" s="11"/>
      <c r="S19" s="12"/>
      <c r="T19" s="72"/>
      <c r="U19" s="72"/>
      <c r="V19" s="72"/>
      <c r="W19" s="72"/>
      <c r="X19" s="71"/>
      <c r="Z19" s="68"/>
      <c r="AA19" s="2"/>
      <c r="AB19" s="1"/>
      <c r="AC19" s="2"/>
      <c r="AD19" s="2"/>
      <c r="AE19" s="2"/>
      <c r="AF19" s="40"/>
      <c r="AH19" s="68"/>
      <c r="AI19" s="2"/>
      <c r="AJ19" s="1"/>
      <c r="AK19" s="2"/>
      <c r="AL19" s="2"/>
      <c r="AM19" s="2"/>
      <c r="AN19" s="40"/>
    </row>
    <row r="20" spans="2:40" ht="20" thickBot="1" x14ac:dyDescent="0.3">
      <c r="Z20" s="73"/>
      <c r="AA20" s="72"/>
      <c r="AB20" s="12"/>
      <c r="AC20" s="72"/>
      <c r="AD20" s="72"/>
      <c r="AE20" s="72"/>
      <c r="AF20" s="71"/>
      <c r="AH20" s="73"/>
      <c r="AI20" s="72"/>
      <c r="AJ20" s="12"/>
      <c r="AK20" s="72"/>
      <c r="AL20" s="72"/>
      <c r="AM20" s="72"/>
      <c r="AN20" s="71"/>
    </row>
  </sheetData>
  <mergeCells count="10">
    <mergeCell ref="Z4:AF4"/>
    <mergeCell ref="AA8:AB8"/>
    <mergeCell ref="AH4:AN4"/>
    <mergeCell ref="AI8:AJ8"/>
    <mergeCell ref="B4:H4"/>
    <mergeCell ref="C8:D8"/>
    <mergeCell ref="J4:P4"/>
    <mergeCell ref="K8:L8"/>
    <mergeCell ref="R4:X4"/>
    <mergeCell ref="S8:T8"/>
  </mergeCells>
  <hyperlinks>
    <hyperlink ref="R1" r:id="rId1" xr:uid="{E34E8C5F-EBFA-F74D-8879-2262033A5A5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61EE-9F60-994E-8E14-0022BD1ADF0E}">
  <dimension ref="A1:AP21"/>
  <sheetViews>
    <sheetView workbookViewId="0">
      <pane ySplit="1" topLeftCell="A2" activePane="bottomLeft" state="frozen"/>
      <selection pane="bottomLeft" sqref="A1:XFD1"/>
    </sheetView>
  </sheetViews>
  <sheetFormatPr baseColWidth="10" defaultColWidth="11" defaultRowHeight="16" x14ac:dyDescent="0.2"/>
  <cols>
    <col min="2" max="3" width="4.33203125" customWidth="1"/>
    <col min="4" max="4" width="4.1640625" customWidth="1"/>
    <col min="5" max="5" width="4.33203125" customWidth="1"/>
    <col min="6" max="6" width="4.5" customWidth="1"/>
    <col min="7" max="8" width="4.6640625" customWidth="1"/>
    <col min="9" max="9" width="9.1640625" customWidth="1"/>
    <col min="10" max="10" width="4.83203125" customWidth="1"/>
    <col min="11" max="11" width="5" customWidth="1"/>
    <col min="12" max="12" width="4.83203125" customWidth="1"/>
    <col min="13" max="13" width="5" customWidth="1"/>
    <col min="14" max="14" width="4.83203125" customWidth="1"/>
    <col min="15" max="15" width="4.6640625" customWidth="1"/>
    <col min="16" max="16" width="4.83203125" customWidth="1"/>
    <col min="17" max="17" width="9.1640625" customWidth="1"/>
    <col min="18" max="18" width="4.83203125" customWidth="1"/>
    <col min="19" max="20" width="5" customWidth="1"/>
    <col min="21" max="23" width="4.6640625" customWidth="1"/>
    <col min="24" max="24" width="4.83203125" customWidth="1"/>
    <col min="25" max="25" width="9.83203125" customWidth="1"/>
    <col min="26" max="26" width="5.1640625" customWidth="1"/>
    <col min="27" max="27" width="5" customWidth="1"/>
    <col min="28" max="28" width="4.83203125" customWidth="1"/>
    <col min="29" max="29" width="4.6640625" customWidth="1"/>
    <col min="30" max="30" width="4.83203125" customWidth="1"/>
    <col min="31" max="32" width="5" customWidth="1"/>
    <col min="33" max="33" width="4.83203125" customWidth="1"/>
    <col min="34" max="34" width="10.1640625" customWidth="1"/>
    <col min="35" max="35" width="4.83203125" customWidth="1"/>
    <col min="36" max="37" width="5.1640625" customWidth="1"/>
    <col min="38" max="38" width="5" customWidth="1"/>
    <col min="39" max="39" width="4.83203125" customWidth="1"/>
    <col min="40" max="40" width="5" customWidth="1"/>
    <col min="41" max="41" width="4.83203125" customWidth="1"/>
    <col min="42" max="42" width="4.6640625" customWidth="1"/>
  </cols>
  <sheetData>
    <row r="1" spans="1:42" s="2" customFormat="1" ht="19" x14ac:dyDescent="0.25">
      <c r="A1" s="2" t="s">
        <v>51</v>
      </c>
      <c r="B1" s="1"/>
      <c r="C1" s="1"/>
      <c r="D1" s="1"/>
      <c r="F1" s="1"/>
      <c r="G1" s="1"/>
      <c r="H1" s="1"/>
      <c r="I1" s="1"/>
      <c r="J1" s="1"/>
      <c r="K1" s="1"/>
      <c r="L1" s="1"/>
      <c r="M1" s="1"/>
      <c r="N1" s="1"/>
      <c r="O1" s="5" t="s">
        <v>42</v>
      </c>
      <c r="R1" s="74" t="s">
        <v>50</v>
      </c>
      <c r="S1" s="1"/>
    </row>
    <row r="3" spans="1:42" ht="20" thickBot="1" x14ac:dyDescent="0.3">
      <c r="B3" s="2" t="str">
        <f>IF(ISBLANK(E10)=TRUE,"NOT DONE",IF(B5=E10,"CORRECT", "INCORRECT"))</f>
        <v>NOT DONE</v>
      </c>
      <c r="C3" s="2"/>
      <c r="D3" s="2"/>
      <c r="E3" s="2"/>
      <c r="F3" s="2"/>
      <c r="G3" s="2"/>
      <c r="J3" s="2" t="str">
        <f>IF(ISBLANK(K10)=TRUE,"NOT DONE",IF(J5=K10,"CORRECT", "INCORRECT"))</f>
        <v>NOT DONE</v>
      </c>
      <c r="K3" s="2"/>
      <c r="L3" s="2"/>
      <c r="M3" s="2"/>
      <c r="N3" s="2"/>
      <c r="O3" s="2"/>
      <c r="R3" s="2" t="str">
        <f>IF(ISBLANK(S11)=TRUE,"NOT DONE",IF(R5=S11,"CORRECT", "INCORRECT"))</f>
        <v>NOT DONE</v>
      </c>
      <c r="S3" s="2"/>
      <c r="T3" s="2"/>
      <c r="U3" s="2"/>
      <c r="V3" s="2"/>
      <c r="W3" s="2"/>
      <c r="Z3" s="2" t="str">
        <f>IF(ISBLANK(AC11)=TRUE,"NOT DONE",IF(Z5=AC11,"CORRECT", "INCORRECT"))</f>
        <v>NOT DONE</v>
      </c>
      <c r="AA3" s="2"/>
      <c r="AB3" s="2"/>
      <c r="AC3" s="2"/>
      <c r="AD3" s="2"/>
      <c r="AE3" s="2"/>
      <c r="AF3" s="2"/>
      <c r="AI3" s="2" t="str">
        <f>IF(ISBLANK(AM12)=TRUE,"NOT DONE",IF(AI5=AM12,"CORRECT", "INCORRECT"))</f>
        <v>NOT DONE</v>
      </c>
      <c r="AJ3" s="2"/>
      <c r="AK3" s="2"/>
      <c r="AL3" s="2"/>
      <c r="AM3" s="2"/>
      <c r="AN3" s="2"/>
      <c r="AO3" s="2"/>
    </row>
    <row r="4" spans="1:42" ht="19" x14ac:dyDescent="0.25">
      <c r="B4" s="80" t="s">
        <v>20</v>
      </c>
      <c r="C4" s="81"/>
      <c r="D4" s="81"/>
      <c r="E4" s="81"/>
      <c r="F4" s="81"/>
      <c r="G4" s="81"/>
      <c r="H4" s="82"/>
      <c r="J4" s="80" t="s">
        <v>21</v>
      </c>
      <c r="K4" s="81"/>
      <c r="L4" s="81"/>
      <c r="M4" s="81"/>
      <c r="N4" s="81"/>
      <c r="O4" s="81"/>
      <c r="P4" s="82"/>
      <c r="R4" s="80" t="s">
        <v>22</v>
      </c>
      <c r="S4" s="81"/>
      <c r="T4" s="81"/>
      <c r="U4" s="81"/>
      <c r="V4" s="81"/>
      <c r="W4" s="81"/>
      <c r="X4" s="82"/>
      <c r="Z4" s="80" t="s">
        <v>23</v>
      </c>
      <c r="AA4" s="81"/>
      <c r="AB4" s="81"/>
      <c r="AC4" s="81"/>
      <c r="AD4" s="81"/>
      <c r="AE4" s="81"/>
      <c r="AF4" s="81"/>
      <c r="AG4" s="82"/>
      <c r="AI4" s="80" t="s">
        <v>24</v>
      </c>
      <c r="AJ4" s="81"/>
      <c r="AK4" s="81"/>
      <c r="AL4" s="81"/>
      <c r="AM4" s="81"/>
      <c r="AN4" s="81"/>
      <c r="AO4" s="81"/>
      <c r="AP4" s="82"/>
    </row>
    <row r="5" spans="1:42" ht="19" x14ac:dyDescent="0.25">
      <c r="B5" s="9">
        <f>G10-G6*C10-G7*D10</f>
        <v>5</v>
      </c>
      <c r="C5" s="27"/>
      <c r="D5" s="2"/>
      <c r="E5" s="2"/>
      <c r="F5" s="2"/>
      <c r="G5" s="2"/>
      <c r="H5" s="63"/>
      <c r="J5" s="9">
        <f>(O10-M10-O7*L10)/O6</f>
        <v>2</v>
      </c>
      <c r="K5" s="27"/>
      <c r="L5" s="2"/>
      <c r="M5" s="2"/>
      <c r="N5" s="2"/>
      <c r="O5" s="2"/>
      <c r="P5" s="63"/>
      <c r="R5" s="9">
        <f>(W11-U11-T11*W7)/W6</f>
        <v>3</v>
      </c>
      <c r="S5" s="27"/>
      <c r="T5" s="2"/>
      <c r="U5" s="2"/>
      <c r="V5" s="2"/>
      <c r="W5" s="2"/>
      <c r="X5" s="63"/>
      <c r="Z5" s="9">
        <f>(AF11-AD11-AA11*AF6-AB11*AF7)/AF8</f>
        <v>-1</v>
      </c>
      <c r="AA5" s="41"/>
      <c r="AB5" s="27"/>
      <c r="AC5" s="2"/>
      <c r="AD5" s="2"/>
      <c r="AE5" s="2"/>
      <c r="AF5" s="2"/>
      <c r="AG5" s="63"/>
      <c r="AI5" s="9">
        <f>AO12-AJ12*AO6-AK12*AO7-AL12*AO8</f>
        <v>-4</v>
      </c>
      <c r="AJ5" s="41"/>
      <c r="AK5" s="27"/>
      <c r="AL5" s="2"/>
      <c r="AM5" s="2"/>
      <c r="AN5" s="2"/>
      <c r="AO5" s="2"/>
      <c r="AP5" s="63"/>
    </row>
    <row r="6" spans="1:42" ht="19" x14ac:dyDescent="0.25">
      <c r="B6" s="10"/>
      <c r="C6" s="2"/>
      <c r="D6" s="1"/>
      <c r="E6" s="1"/>
      <c r="F6" s="1"/>
      <c r="G6" s="29">
        <v>3</v>
      </c>
      <c r="H6" s="66" t="s">
        <v>55</v>
      </c>
      <c r="J6" s="10"/>
      <c r="K6" s="2"/>
      <c r="L6" s="1"/>
      <c r="M6" s="1"/>
      <c r="N6" s="1"/>
      <c r="O6" s="29">
        <v>3</v>
      </c>
      <c r="P6" s="66" t="s">
        <v>55</v>
      </c>
      <c r="R6" s="10"/>
      <c r="S6" s="2"/>
      <c r="T6" s="1"/>
      <c r="U6" s="1"/>
      <c r="V6" s="1"/>
      <c r="W6" s="29">
        <v>2</v>
      </c>
      <c r="X6" s="66" t="s">
        <v>55</v>
      </c>
      <c r="Z6" s="10"/>
      <c r="AA6" s="2"/>
      <c r="AB6" s="2"/>
      <c r="AC6" s="1"/>
      <c r="AD6" s="1"/>
      <c r="AE6" s="1"/>
      <c r="AF6" s="29">
        <v>2</v>
      </c>
      <c r="AG6" s="66" t="s">
        <v>55</v>
      </c>
      <c r="AI6" s="10"/>
      <c r="AJ6" s="2"/>
      <c r="AK6" s="2"/>
      <c r="AL6" s="1"/>
      <c r="AM6" s="1"/>
      <c r="AN6" s="1"/>
      <c r="AO6" s="29">
        <v>2</v>
      </c>
      <c r="AP6" s="66" t="s">
        <v>55</v>
      </c>
    </row>
    <row r="7" spans="1:42" ht="19" x14ac:dyDescent="0.25">
      <c r="B7" s="10"/>
      <c r="C7" s="2"/>
      <c r="D7" s="1"/>
      <c r="E7" s="1"/>
      <c r="F7" s="1"/>
      <c r="G7" s="29">
        <v>2</v>
      </c>
      <c r="H7" s="66" t="s">
        <v>56</v>
      </c>
      <c r="J7" s="10"/>
      <c r="K7" s="2"/>
      <c r="L7" s="1"/>
      <c r="M7" s="1"/>
      <c r="N7" s="1"/>
      <c r="O7" s="29">
        <v>2</v>
      </c>
      <c r="P7" s="66" t="s">
        <v>56</v>
      </c>
      <c r="R7" s="10"/>
      <c r="S7" s="2"/>
      <c r="T7" s="1"/>
      <c r="U7" s="1"/>
      <c r="V7" s="1"/>
      <c r="W7" s="29">
        <v>1</v>
      </c>
      <c r="X7" s="66" t="s">
        <v>56</v>
      </c>
      <c r="Z7" s="10"/>
      <c r="AA7" s="2"/>
      <c r="AB7" s="2"/>
      <c r="AC7" s="1"/>
      <c r="AD7" s="1"/>
      <c r="AE7" s="1"/>
      <c r="AF7" s="29">
        <v>1</v>
      </c>
      <c r="AG7" s="66" t="s">
        <v>56</v>
      </c>
      <c r="AI7" s="10"/>
      <c r="AJ7" s="2"/>
      <c r="AK7" s="2"/>
      <c r="AL7" s="1"/>
      <c r="AM7" s="1"/>
      <c r="AN7" s="1"/>
      <c r="AO7" s="29">
        <v>5</v>
      </c>
      <c r="AP7" s="66" t="s">
        <v>56</v>
      </c>
    </row>
    <row r="8" spans="1:42" ht="20" thickBot="1" x14ac:dyDescent="0.3">
      <c r="B8" s="10"/>
      <c r="C8" s="86" t="s">
        <v>47</v>
      </c>
      <c r="D8" s="86"/>
      <c r="E8" s="47" t="s">
        <v>48</v>
      </c>
      <c r="F8" s="1"/>
      <c r="G8" s="17">
        <v>1</v>
      </c>
      <c r="H8" s="64"/>
      <c r="J8" s="10"/>
      <c r="K8" s="86" t="s">
        <v>47</v>
      </c>
      <c r="L8" s="86"/>
      <c r="M8" s="47" t="s">
        <v>48</v>
      </c>
      <c r="N8" s="1"/>
      <c r="O8" s="17">
        <v>1</v>
      </c>
      <c r="P8" s="64"/>
      <c r="R8" s="10"/>
      <c r="S8" s="86" t="s">
        <v>47</v>
      </c>
      <c r="T8" s="86"/>
      <c r="U8" s="47" t="s">
        <v>48</v>
      </c>
      <c r="V8" s="1"/>
      <c r="W8" s="17">
        <v>1</v>
      </c>
      <c r="X8" s="64"/>
      <c r="Z8" s="78"/>
      <c r="AA8" s="77"/>
      <c r="AB8" s="77"/>
      <c r="AC8" s="77"/>
      <c r="AD8" s="77"/>
      <c r="AE8" s="77"/>
      <c r="AF8" s="29">
        <v>2</v>
      </c>
      <c r="AG8" s="79" t="s">
        <v>57</v>
      </c>
      <c r="AI8" s="78"/>
      <c r="AJ8" s="77"/>
      <c r="AK8" s="77"/>
      <c r="AL8" s="77"/>
      <c r="AM8" s="77"/>
      <c r="AN8" s="77"/>
      <c r="AO8" s="29">
        <v>1</v>
      </c>
      <c r="AP8" s="79" t="s">
        <v>57</v>
      </c>
    </row>
    <row r="9" spans="1:42" ht="20" thickBot="1" x14ac:dyDescent="0.3">
      <c r="B9" s="10"/>
      <c r="C9" s="20">
        <v>1</v>
      </c>
      <c r="D9" s="37">
        <v>2</v>
      </c>
      <c r="E9" s="21">
        <v>1</v>
      </c>
      <c r="F9" s="28" t="s">
        <v>43</v>
      </c>
      <c r="G9" s="16">
        <f>C9*G6+D9*G7+E9</f>
        <v>8</v>
      </c>
      <c r="H9" s="67" t="s">
        <v>52</v>
      </c>
      <c r="J9" s="10"/>
      <c r="K9" s="20">
        <v>1</v>
      </c>
      <c r="L9" s="37">
        <v>1</v>
      </c>
      <c r="M9" s="21">
        <v>0</v>
      </c>
      <c r="N9" s="28" t="s">
        <v>43</v>
      </c>
      <c r="O9" s="16">
        <f>K9*O6+L9*O7+M9</f>
        <v>5</v>
      </c>
      <c r="P9" s="67" t="s">
        <v>52</v>
      </c>
      <c r="R9" s="10"/>
      <c r="S9" s="20">
        <v>1</v>
      </c>
      <c r="T9" s="37">
        <v>1</v>
      </c>
      <c r="U9" s="21">
        <v>0</v>
      </c>
      <c r="V9" s="28" t="s">
        <v>43</v>
      </c>
      <c r="W9" s="16">
        <f>S9*W6+T9*W7+U9</f>
        <v>3</v>
      </c>
      <c r="X9" s="67" t="s">
        <v>52</v>
      </c>
      <c r="Z9" s="46"/>
      <c r="AA9" s="87" t="s">
        <v>47</v>
      </c>
      <c r="AB9" s="87"/>
      <c r="AC9" s="87"/>
      <c r="AD9" s="47" t="s">
        <v>48</v>
      </c>
      <c r="AE9" s="47"/>
      <c r="AF9" s="45">
        <v>1</v>
      </c>
      <c r="AG9" s="64"/>
      <c r="AI9" s="46"/>
      <c r="AJ9" s="87" t="s">
        <v>47</v>
      </c>
      <c r="AK9" s="87"/>
      <c r="AL9" s="87"/>
      <c r="AM9" s="47" t="s">
        <v>48</v>
      </c>
      <c r="AN9" s="47"/>
      <c r="AO9" s="45">
        <v>1</v>
      </c>
      <c r="AP9" s="64"/>
    </row>
    <row r="10" spans="1:42" ht="20" thickBot="1" x14ac:dyDescent="0.3">
      <c r="B10" s="68"/>
      <c r="C10" s="34">
        <v>1</v>
      </c>
      <c r="D10" s="35">
        <v>2</v>
      </c>
      <c r="E10" s="57"/>
      <c r="F10" s="28" t="s">
        <v>43</v>
      </c>
      <c r="G10" s="44">
        <v>12</v>
      </c>
      <c r="H10" s="67" t="s">
        <v>53</v>
      </c>
      <c r="J10" s="68"/>
      <c r="K10" s="58"/>
      <c r="L10" s="16">
        <v>1</v>
      </c>
      <c r="M10" s="26">
        <v>0</v>
      </c>
      <c r="N10" s="28" t="s">
        <v>43</v>
      </c>
      <c r="O10" s="42">
        <v>8</v>
      </c>
      <c r="P10" s="67" t="s">
        <v>53</v>
      </c>
      <c r="R10" s="68"/>
      <c r="S10" s="25">
        <v>2</v>
      </c>
      <c r="T10" s="16">
        <v>1</v>
      </c>
      <c r="U10" s="26">
        <v>0</v>
      </c>
      <c r="V10" s="28" t="s">
        <v>43</v>
      </c>
      <c r="W10" s="42">
        <f>S10*W6+T10*W7+U10</f>
        <v>5</v>
      </c>
      <c r="X10" s="67" t="s">
        <v>53</v>
      </c>
      <c r="Z10" s="10"/>
      <c r="AA10" s="33">
        <v>1</v>
      </c>
      <c r="AB10" s="37">
        <v>1</v>
      </c>
      <c r="AC10" s="37">
        <v>0</v>
      </c>
      <c r="AD10" s="21">
        <v>0</v>
      </c>
      <c r="AE10" s="28" t="s">
        <v>43</v>
      </c>
      <c r="AF10" s="44">
        <f>AA10*AF6+AB10*AF7+AC10*AF8+AD10</f>
        <v>3</v>
      </c>
      <c r="AG10" s="67" t="s">
        <v>52</v>
      </c>
      <c r="AI10" s="10"/>
      <c r="AJ10" s="33">
        <v>1</v>
      </c>
      <c r="AK10" s="37">
        <v>1</v>
      </c>
      <c r="AL10" s="37">
        <v>0</v>
      </c>
      <c r="AM10" s="21">
        <v>0</v>
      </c>
      <c r="AN10" s="28" t="s">
        <v>43</v>
      </c>
      <c r="AO10" s="44">
        <f>AJ10*AO6+AK10*AO7+AL10*AO8+AM10</f>
        <v>7</v>
      </c>
      <c r="AP10" s="67" t="s">
        <v>52</v>
      </c>
    </row>
    <row r="11" spans="1:42" ht="20" thickBot="1" x14ac:dyDescent="0.3">
      <c r="B11" s="69"/>
      <c r="H11" s="70"/>
      <c r="J11" s="69"/>
      <c r="K11" s="34">
        <v>3</v>
      </c>
      <c r="L11" s="35">
        <v>0</v>
      </c>
      <c r="M11" s="36">
        <v>0</v>
      </c>
      <c r="N11" s="28" t="s">
        <v>43</v>
      </c>
      <c r="O11" s="16">
        <f>K11*O6+O7*L11+M11</f>
        <v>9</v>
      </c>
      <c r="P11" s="67" t="s">
        <v>54</v>
      </c>
      <c r="R11" s="69"/>
      <c r="S11" s="59"/>
      <c r="T11" s="35">
        <v>1</v>
      </c>
      <c r="U11" s="36">
        <v>0</v>
      </c>
      <c r="V11" s="28" t="s">
        <v>43</v>
      </c>
      <c r="W11" s="16">
        <v>7</v>
      </c>
      <c r="X11" s="67" t="s">
        <v>54</v>
      </c>
      <c r="Z11" s="68"/>
      <c r="AA11" s="48">
        <v>1</v>
      </c>
      <c r="AB11" s="16">
        <v>1</v>
      </c>
      <c r="AC11" s="43"/>
      <c r="AD11" s="26">
        <v>0</v>
      </c>
      <c r="AE11" s="28" t="s">
        <v>43</v>
      </c>
      <c r="AF11" s="60">
        <v>1</v>
      </c>
      <c r="AG11" s="67" t="s">
        <v>53</v>
      </c>
      <c r="AI11" s="68"/>
      <c r="AJ11" s="48">
        <v>1</v>
      </c>
      <c r="AK11" s="16">
        <v>1</v>
      </c>
      <c r="AL11" s="16">
        <v>0</v>
      </c>
      <c r="AM11" s="26">
        <v>-2</v>
      </c>
      <c r="AN11" s="28" t="s">
        <v>43</v>
      </c>
      <c r="AO11" s="60">
        <f>AJ11*AO6+AK11*AO7+AL11*AO8+AM11</f>
        <v>5</v>
      </c>
      <c r="AP11" s="67" t="s">
        <v>53</v>
      </c>
    </row>
    <row r="12" spans="1:42" ht="20" thickBot="1" x14ac:dyDescent="0.3">
      <c r="B12" s="68"/>
      <c r="C12" s="1"/>
      <c r="D12" s="75"/>
      <c r="E12" s="1"/>
      <c r="F12" s="65"/>
      <c r="G12" s="1"/>
      <c r="H12" s="39"/>
      <c r="J12" s="68"/>
      <c r="P12" s="63"/>
      <c r="R12" s="68"/>
      <c r="X12" s="63"/>
      <c r="Z12" s="68"/>
      <c r="AA12" s="34">
        <v>1</v>
      </c>
      <c r="AB12" s="35">
        <v>1</v>
      </c>
      <c r="AC12" s="35">
        <v>1</v>
      </c>
      <c r="AD12" s="36">
        <v>0</v>
      </c>
      <c r="AE12" s="28" t="s">
        <v>43</v>
      </c>
      <c r="AF12" s="16">
        <f>AA12*AF6+AB12*AF7+AC12*AF8+AD12</f>
        <v>5</v>
      </c>
      <c r="AG12" s="67" t="s">
        <v>54</v>
      </c>
      <c r="AI12" s="68"/>
      <c r="AJ12" s="34">
        <v>1</v>
      </c>
      <c r="AK12" s="35">
        <v>1</v>
      </c>
      <c r="AL12" s="35">
        <v>0</v>
      </c>
      <c r="AM12" s="57"/>
      <c r="AN12" s="28" t="s">
        <v>43</v>
      </c>
      <c r="AO12" s="16">
        <v>3</v>
      </c>
      <c r="AP12" s="67" t="s">
        <v>54</v>
      </c>
    </row>
    <row r="13" spans="1:42" ht="19" x14ac:dyDescent="0.25">
      <c r="B13" s="68"/>
      <c r="C13" s="1"/>
      <c r="D13" s="1"/>
      <c r="E13" s="1"/>
      <c r="F13" s="65"/>
      <c r="G13" s="1"/>
      <c r="H13" s="39"/>
      <c r="J13" s="68"/>
      <c r="P13" s="39"/>
      <c r="R13" s="68"/>
      <c r="X13" s="39"/>
      <c r="Z13" s="68"/>
      <c r="AG13" s="63"/>
      <c r="AI13" s="68"/>
      <c r="AP13" s="63"/>
    </row>
    <row r="14" spans="1:42" ht="19" x14ac:dyDescent="0.25">
      <c r="B14" s="68"/>
      <c r="C14" s="1"/>
      <c r="D14" s="1"/>
      <c r="E14" s="1"/>
      <c r="F14" s="65"/>
      <c r="G14" s="1"/>
      <c r="H14" s="39"/>
      <c r="J14" s="68"/>
      <c r="P14" s="39"/>
      <c r="R14" s="68"/>
      <c r="X14" s="39"/>
      <c r="Z14" s="68"/>
      <c r="AG14" s="63"/>
      <c r="AI14" s="68"/>
      <c r="AP14" s="63"/>
    </row>
    <row r="15" spans="1:42" ht="19" x14ac:dyDescent="0.25">
      <c r="B15" s="68"/>
      <c r="C15" s="1"/>
      <c r="D15" s="1"/>
      <c r="E15" s="1"/>
      <c r="F15" s="65"/>
      <c r="G15" s="1"/>
      <c r="H15" s="39"/>
      <c r="J15" s="68"/>
      <c r="P15" s="39"/>
      <c r="R15" s="68"/>
      <c r="X15" s="39"/>
      <c r="Z15" s="68"/>
      <c r="AG15" s="63"/>
      <c r="AI15" s="68"/>
      <c r="AP15" s="63"/>
    </row>
    <row r="16" spans="1:42" ht="19" x14ac:dyDescent="0.25">
      <c r="B16" s="68"/>
      <c r="C16" s="1"/>
      <c r="D16" s="1"/>
      <c r="H16" s="63"/>
      <c r="J16" s="68"/>
      <c r="P16" s="39"/>
      <c r="R16" s="68"/>
      <c r="X16" s="39"/>
      <c r="Z16" s="68"/>
      <c r="AG16" s="63"/>
      <c r="AI16" s="68"/>
      <c r="AP16" s="63"/>
    </row>
    <row r="17" spans="2:42" ht="19" x14ac:dyDescent="0.25">
      <c r="B17" s="68"/>
      <c r="C17" s="1"/>
      <c r="D17" s="1"/>
      <c r="H17" s="63"/>
      <c r="J17" s="68"/>
      <c r="P17" s="63"/>
      <c r="R17" s="68"/>
      <c r="X17" s="63"/>
      <c r="Z17" s="68"/>
      <c r="AG17" s="63"/>
      <c r="AI17" s="68"/>
      <c r="AP17" s="63"/>
    </row>
    <row r="18" spans="2:42" ht="19" x14ac:dyDescent="0.25">
      <c r="B18" s="68"/>
      <c r="C18" s="1"/>
      <c r="D18" s="1"/>
      <c r="H18" s="63"/>
      <c r="J18" s="68"/>
      <c r="P18" s="63"/>
      <c r="R18" s="68"/>
      <c r="X18" s="63"/>
      <c r="Z18" s="68"/>
      <c r="AG18" s="63"/>
      <c r="AI18" s="68"/>
      <c r="AP18" s="63"/>
    </row>
    <row r="19" spans="2:42" ht="19" x14ac:dyDescent="0.25">
      <c r="B19" s="68"/>
      <c r="C19" s="2"/>
      <c r="D19" s="1"/>
      <c r="E19" s="2"/>
      <c r="F19" s="2"/>
      <c r="G19" s="2"/>
      <c r="H19" s="40"/>
      <c r="J19" s="68"/>
      <c r="P19" s="63"/>
      <c r="R19" s="68"/>
      <c r="X19" s="63"/>
      <c r="Z19" s="68"/>
      <c r="AG19" s="63"/>
      <c r="AI19" s="68"/>
      <c r="AP19" s="63"/>
    </row>
    <row r="20" spans="2:42" ht="20" thickBot="1" x14ac:dyDescent="0.3">
      <c r="B20" s="73"/>
      <c r="C20" s="72"/>
      <c r="D20" s="12"/>
      <c r="E20" s="72"/>
      <c r="F20" s="72"/>
      <c r="G20" s="72"/>
      <c r="H20" s="71"/>
      <c r="J20" s="68"/>
      <c r="P20" s="40"/>
      <c r="R20" s="68"/>
      <c r="X20" s="40"/>
      <c r="Z20" s="68"/>
      <c r="AG20" s="63"/>
      <c r="AI20" s="68"/>
      <c r="AP20" s="63"/>
    </row>
    <row r="21" spans="2:42" ht="17" thickBot="1" x14ac:dyDescent="0.25">
      <c r="J21" s="73"/>
      <c r="K21" s="72"/>
      <c r="L21" s="72"/>
      <c r="M21" s="72"/>
      <c r="N21" s="72"/>
      <c r="O21" s="72"/>
      <c r="P21" s="71"/>
      <c r="R21" s="73"/>
      <c r="S21" s="72"/>
      <c r="T21" s="72"/>
      <c r="U21" s="72"/>
      <c r="V21" s="72"/>
      <c r="W21" s="72"/>
      <c r="X21" s="71"/>
      <c r="Z21" s="73"/>
      <c r="AA21" s="72"/>
      <c r="AB21" s="72"/>
      <c r="AC21" s="72"/>
      <c r="AD21" s="72"/>
      <c r="AE21" s="72"/>
      <c r="AF21" s="72"/>
      <c r="AG21" s="71"/>
      <c r="AI21" s="73"/>
      <c r="AJ21" s="72"/>
      <c r="AK21" s="72"/>
      <c r="AL21" s="72"/>
      <c r="AM21" s="72"/>
      <c r="AN21" s="72"/>
      <c r="AO21" s="72"/>
      <c r="AP21" s="71"/>
    </row>
  </sheetData>
  <mergeCells count="10">
    <mergeCell ref="Z4:AG4"/>
    <mergeCell ref="AA9:AC9"/>
    <mergeCell ref="AI4:AP4"/>
    <mergeCell ref="AJ9:AL9"/>
    <mergeCell ref="B4:H4"/>
    <mergeCell ref="C8:D8"/>
    <mergeCell ref="J4:P4"/>
    <mergeCell ref="K8:L8"/>
    <mergeCell ref="R4:X4"/>
    <mergeCell ref="S8:T8"/>
  </mergeCells>
  <hyperlinks>
    <hyperlink ref="R1" r:id="rId1" xr:uid="{45024357-32C1-ED48-9305-5D55817EC8E5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3377-E106-E649-9375-6D590D9A623A}">
  <dimension ref="A1:A23"/>
  <sheetViews>
    <sheetView workbookViewId="0">
      <selection activeCell="A26" sqref="A26"/>
    </sheetView>
  </sheetViews>
  <sheetFormatPr baseColWidth="10" defaultColWidth="11" defaultRowHeight="16" x14ac:dyDescent="0.2"/>
  <cols>
    <col min="1" max="1" width="92" customWidth="1"/>
  </cols>
  <sheetData>
    <row r="1" spans="1:1" ht="17" x14ac:dyDescent="0.2">
      <c r="A1" s="3" t="s">
        <v>25</v>
      </c>
    </row>
    <row r="2" spans="1:1" x14ac:dyDescent="0.2">
      <c r="A2" s="3"/>
    </row>
    <row r="3" spans="1:1" ht="17" x14ac:dyDescent="0.2">
      <c r="A3" s="3" t="s">
        <v>41</v>
      </c>
    </row>
    <row r="4" spans="1:1" x14ac:dyDescent="0.2">
      <c r="A4" s="3"/>
    </row>
    <row r="5" spans="1:1" ht="17" x14ac:dyDescent="0.2">
      <c r="A5" s="3" t="s">
        <v>26</v>
      </c>
    </row>
    <row r="6" spans="1:1" ht="17" x14ac:dyDescent="0.2">
      <c r="A6" s="3" t="s">
        <v>27</v>
      </c>
    </row>
    <row r="7" spans="1:1" ht="17" x14ac:dyDescent="0.2">
      <c r="A7" s="3" t="s">
        <v>28</v>
      </c>
    </row>
    <row r="8" spans="1:1" ht="17" x14ac:dyDescent="0.2">
      <c r="A8" s="3" t="s">
        <v>29</v>
      </c>
    </row>
    <row r="9" spans="1:1" ht="17" x14ac:dyDescent="0.2">
      <c r="A9" s="3" t="s">
        <v>30</v>
      </c>
    </row>
    <row r="10" spans="1:1" ht="17" x14ac:dyDescent="0.2">
      <c r="A10" s="3" t="s">
        <v>31</v>
      </c>
    </row>
    <row r="11" spans="1:1" x14ac:dyDescent="0.2">
      <c r="A11" s="4"/>
    </row>
    <row r="12" spans="1:1" ht="17" x14ac:dyDescent="0.2">
      <c r="A12" s="3" t="s">
        <v>32</v>
      </c>
    </row>
    <row r="13" spans="1:1" ht="17" x14ac:dyDescent="0.2">
      <c r="A13" s="3" t="s">
        <v>33</v>
      </c>
    </row>
    <row r="14" spans="1:1" x14ac:dyDescent="0.2">
      <c r="A14" s="3"/>
    </row>
    <row r="15" spans="1:1" ht="17" x14ac:dyDescent="0.2">
      <c r="A15" s="3" t="s">
        <v>34</v>
      </c>
    </row>
    <row r="16" spans="1:1" ht="17" x14ac:dyDescent="0.2">
      <c r="A16" s="3" t="s">
        <v>35</v>
      </c>
    </row>
    <row r="17" spans="1:1" ht="34" x14ac:dyDescent="0.2">
      <c r="A17" s="3" t="s">
        <v>36</v>
      </c>
    </row>
    <row r="18" spans="1:1" ht="17" x14ac:dyDescent="0.2">
      <c r="A18" s="3" t="s">
        <v>37</v>
      </c>
    </row>
    <row r="19" spans="1:1" ht="17" x14ac:dyDescent="0.2">
      <c r="A19" s="3" t="s">
        <v>38</v>
      </c>
    </row>
    <row r="20" spans="1:1" ht="34" x14ac:dyDescent="0.2">
      <c r="A20" s="3" t="s">
        <v>39</v>
      </c>
    </row>
    <row r="21" spans="1:1" ht="17" x14ac:dyDescent="0.2">
      <c r="A21" s="3" t="s">
        <v>40</v>
      </c>
    </row>
    <row r="22" spans="1:1" x14ac:dyDescent="0.2">
      <c r="A22" s="3"/>
    </row>
    <row r="23" spans="1:1" x14ac:dyDescent="0.2">
      <c r="A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Exrcise 1-5</vt:lpstr>
      <vt:lpstr>Exercise 6-10</vt:lpstr>
      <vt:lpstr>Exercise 11-15</vt:lpstr>
      <vt:lpstr>Exercise 16-20</vt:lpstr>
      <vt:lpstr>Exercise 21-25</vt:lpstr>
      <vt:lpstr>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Mohsena Ashraf</dc:creator>
  <cp:lastModifiedBy>Kebede, Daniel Tesfai</cp:lastModifiedBy>
  <dcterms:created xsi:type="dcterms:W3CDTF">2024-09-29T04:54:52Z</dcterms:created>
  <dcterms:modified xsi:type="dcterms:W3CDTF">2026-01-28T21:47:25Z</dcterms:modified>
</cp:coreProperties>
</file>